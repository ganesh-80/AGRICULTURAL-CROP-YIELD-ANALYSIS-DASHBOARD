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05cf8561bfaccc60/Desktop/FinTrust_Case_Study/"/>
    </mc:Choice>
  </mc:AlternateContent>
  <xr:revisionPtr revIDLastSave="0" documentId="8_{A94C0D47-FBFC-4718-A6BC-51CAE02ABFE5}" xr6:coauthVersionLast="47" xr6:coauthVersionMax="47" xr10:uidLastSave="{00000000-0000-0000-0000-000000000000}"/>
  <bookViews>
    <workbookView xWindow="-108" yWindow="-108" windowWidth="23256" windowHeight="12456" activeTab="1" xr2:uid="{306D91F4-8442-44CA-8A43-3B3A279B5D14}"/>
  </bookViews>
  <sheets>
    <sheet name="Pivottable_1" sheetId="7" r:id="rId1"/>
    <sheet name="Dashboard" sheetId="8" r:id="rId2"/>
    <sheet name="Agricultural_crop_yield cleaned" sheetId="3" r:id="rId3"/>
    <sheet name="Agricultural_Crop_Yield" sheetId="1" r:id="rId4"/>
  </sheets>
  <definedNames>
    <definedName name="_xlchart.v1.0" hidden="1">Pivottable_1!$D$6:$D$14</definedName>
    <definedName name="_xlchart.v1.1" hidden="1">Pivottable_1!$E$5</definedName>
    <definedName name="_xlchart.v1.2" hidden="1">Pivottable_1!$E$6:$E$14</definedName>
    <definedName name="_xlcn.WorksheetConnection_Agricultural_Crop_Yield.xlsxTable1_21" hidden="1">Table1_2[]</definedName>
    <definedName name="ExternalData_2" localSheetId="2" hidden="1">'Agricultural_crop_yield cleaned'!$A$1:$Q$501</definedName>
    <definedName name="Slicer_Crop_Name1">#N/A</definedName>
    <definedName name="Slicer_District1">#N/A</definedName>
    <definedName name="Slicer_Fertilizer_Type1">#N/A</definedName>
    <definedName name="Slicer_Irrigation_Type1">#N/A</definedName>
    <definedName name="Slicer_State1">#N/A</definedName>
    <definedName name="Slicer_Year_MM">#N/A</definedName>
  </definedNames>
  <calcPr calcId="0"/>
  <pivotCaches>
    <pivotCache cacheId="995" r:id="rId5"/>
    <pivotCache cacheId="1190" r:id="rId6"/>
    <pivotCache cacheId="1193" r:id="rId7"/>
    <pivotCache cacheId="1196" r:id="rId8"/>
    <pivotCache cacheId="1199" r:id="rId9"/>
    <pivotCache cacheId="1202" r:id="rId10"/>
    <pivotCache cacheId="1205" r:id="rId11"/>
    <pivotCache cacheId="1208" r:id="rId12"/>
    <pivotCache cacheId="1211" r:id="rId13"/>
    <pivotCache cacheId="1214" r:id="rId14"/>
    <pivotCache cacheId="1217" r:id="rId15"/>
    <pivotCache cacheId="1220" r:id="rId16"/>
    <pivotCache cacheId="1223" r:id="rId17"/>
  </pivotCaches>
  <extLst>
    <ext xmlns:x14="http://schemas.microsoft.com/office/spreadsheetml/2009/9/main" uri="{876F7934-8845-4945-9796-88D515C7AA90}">
      <x14:pivotCaches>
        <pivotCache cacheId="298"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2" name="Table1_2" connection="WorksheetConnection_Agricultural_Crop_Yield.xlsx!Table1_2"/>
        </x15:modelTables>
      </x15:dataModel>
    </ext>
  </extLst>
</workbook>
</file>

<file path=xl/calcChain.xml><?xml version="1.0" encoding="utf-8"?>
<calcChain xmlns="http://schemas.openxmlformats.org/spreadsheetml/2006/main">
  <c r="T5" i="3" l="1"/>
  <c r="T6" i="3"/>
  <c r="T7" i="3"/>
  <c r="T8" i="3"/>
  <c r="T18" i="3"/>
  <c r="T28" i="3"/>
  <c r="T29" i="3"/>
  <c r="T30" i="3"/>
  <c r="T31" i="3"/>
  <c r="T33" i="3"/>
  <c r="T42" i="3"/>
  <c r="T43" i="3"/>
  <c r="T52" i="3"/>
  <c r="T53" i="3"/>
  <c r="T54" i="3"/>
  <c r="T55" i="3"/>
  <c r="T77" i="3"/>
  <c r="T78" i="3"/>
  <c r="T90" i="3"/>
  <c r="T91" i="3"/>
  <c r="T92" i="3"/>
  <c r="T94" i="3"/>
  <c r="T102" i="3"/>
  <c r="T112" i="3"/>
  <c r="T113" i="3"/>
  <c r="T114" i="3"/>
  <c r="T116" i="3"/>
  <c r="T126" i="3"/>
  <c r="T136" i="3"/>
  <c r="T138" i="3"/>
  <c r="T148" i="3"/>
  <c r="T150" i="3"/>
  <c r="T151" i="3"/>
  <c r="T152" i="3"/>
  <c r="T153" i="3"/>
  <c r="T160" i="3"/>
  <c r="T162" i="3"/>
  <c r="T172" i="3"/>
  <c r="T173" i="3"/>
  <c r="T174" i="3"/>
  <c r="T175" i="3"/>
  <c r="T177" i="3"/>
  <c r="T186" i="3"/>
  <c r="T187" i="3"/>
  <c r="T196" i="3"/>
  <c r="T197" i="3"/>
  <c r="T198" i="3"/>
  <c r="T199" i="3"/>
  <c r="T221" i="3"/>
  <c r="T222" i="3"/>
  <c r="T234" i="3"/>
  <c r="T235" i="3"/>
  <c r="T236" i="3"/>
  <c r="T238" i="3"/>
  <c r="T246" i="3"/>
  <c r="T256" i="3"/>
  <c r="T257" i="3"/>
  <c r="T258" i="3"/>
  <c r="T260" i="3"/>
  <c r="T270" i="3"/>
  <c r="T280" i="3"/>
  <c r="T282" i="3"/>
  <c r="T292" i="3"/>
  <c r="T294" i="3"/>
  <c r="T295" i="3"/>
  <c r="T296" i="3"/>
  <c r="T297" i="3"/>
  <c r="T304" i="3"/>
  <c r="T306" i="3"/>
  <c r="T316" i="3"/>
  <c r="T317" i="3"/>
  <c r="T318" i="3"/>
  <c r="T319" i="3"/>
  <c r="T321" i="3"/>
  <c r="T330" i="3"/>
  <c r="T331" i="3"/>
  <c r="T340" i="3"/>
  <c r="T341" i="3"/>
  <c r="T342" i="3"/>
  <c r="T343" i="3"/>
  <c r="T365" i="3"/>
  <c r="T366" i="3"/>
  <c r="T378" i="3"/>
  <c r="T379" i="3"/>
  <c r="T380" i="3"/>
  <c r="T382" i="3"/>
  <c r="T390" i="3"/>
  <c r="T399" i="3"/>
  <c r="T400" i="3"/>
  <c r="T401" i="3"/>
  <c r="T402" i="3"/>
  <c r="T403" i="3"/>
  <c r="T411" i="3"/>
  <c r="T412" i="3"/>
  <c r="T414" i="3"/>
  <c r="T415" i="3"/>
  <c r="T416" i="3"/>
  <c r="T417" i="3"/>
  <c r="T423" i="3"/>
  <c r="T426" i="3"/>
  <c r="T435" i="3"/>
  <c r="T436" i="3"/>
  <c r="T437" i="3"/>
  <c r="T438" i="3"/>
  <c r="T439" i="3"/>
  <c r="T447" i="3"/>
  <c r="T448" i="3"/>
  <c r="T450" i="3"/>
  <c r="T451" i="3"/>
  <c r="T452" i="3"/>
  <c r="T453" i="3"/>
  <c r="T459" i="3"/>
  <c r="T462" i="3"/>
  <c r="T471" i="3"/>
  <c r="T472" i="3"/>
  <c r="T473" i="3"/>
  <c r="T474" i="3"/>
  <c r="T475" i="3"/>
  <c r="T483" i="3"/>
  <c r="T484" i="3"/>
  <c r="T486" i="3"/>
  <c r="T487" i="3"/>
  <c r="T488" i="3"/>
  <c r="T489" i="3"/>
  <c r="T495" i="3"/>
  <c r="T498" i="3"/>
  <c r="S12" i="3"/>
  <c r="S13" i="3"/>
  <c r="S25" i="3"/>
  <c r="S36" i="3"/>
  <c r="S37" i="3"/>
  <c r="S48" i="3"/>
  <c r="S49" i="3"/>
  <c r="S60" i="3"/>
  <c r="S61" i="3"/>
  <c r="S73" i="3"/>
  <c r="S84" i="3"/>
  <c r="S85" i="3"/>
  <c r="S93" i="3"/>
  <c r="S96" i="3"/>
  <c r="S97" i="3"/>
  <c r="S108" i="3"/>
  <c r="S109" i="3"/>
  <c r="S121" i="3"/>
  <c r="S132" i="3"/>
  <c r="S133" i="3"/>
  <c r="S141" i="3"/>
  <c r="S144" i="3"/>
  <c r="S145" i="3"/>
  <c r="S156" i="3"/>
  <c r="S157" i="3"/>
  <c r="S169" i="3"/>
  <c r="S180" i="3"/>
  <c r="S181" i="3"/>
  <c r="S192" i="3"/>
  <c r="S193" i="3"/>
  <c r="S204" i="3"/>
  <c r="S205" i="3"/>
  <c r="S217" i="3"/>
  <c r="S228" i="3"/>
  <c r="S229" i="3"/>
  <c r="S240" i="3"/>
  <c r="S241" i="3"/>
  <c r="S252" i="3"/>
  <c r="S253" i="3"/>
  <c r="S265" i="3"/>
  <c r="S276" i="3"/>
  <c r="S277" i="3"/>
  <c r="S288" i="3"/>
  <c r="S289" i="3"/>
  <c r="S300" i="3"/>
  <c r="S301" i="3"/>
  <c r="S313" i="3"/>
  <c r="S324" i="3"/>
  <c r="S325" i="3"/>
  <c r="S336" i="3"/>
  <c r="S337" i="3"/>
  <c r="S348" i="3"/>
  <c r="S349" i="3"/>
  <c r="S361" i="3"/>
  <c r="S372" i="3"/>
  <c r="S373" i="3"/>
  <c r="S381" i="3"/>
  <c r="S384" i="3"/>
  <c r="S385" i="3"/>
  <c r="S396" i="3"/>
  <c r="S397" i="3"/>
  <c r="S409" i="3"/>
  <c r="S420" i="3"/>
  <c r="S421" i="3"/>
  <c r="S429" i="3"/>
  <c r="S432" i="3"/>
  <c r="S433" i="3"/>
  <c r="S444" i="3"/>
  <c r="S445" i="3"/>
  <c r="S457" i="3"/>
  <c r="S468" i="3"/>
  <c r="S469" i="3"/>
  <c r="S480" i="3"/>
  <c r="S481" i="3"/>
  <c r="S492" i="3"/>
  <c r="S493" i="3"/>
  <c r="R2" i="3"/>
  <c r="S2" i="3" s="1"/>
  <c r="R3" i="3"/>
  <c r="R4" i="3"/>
  <c r="S4" i="3" s="1"/>
  <c r="R5" i="3"/>
  <c r="S5" i="3" s="1"/>
  <c r="R6" i="3"/>
  <c r="S6" i="3" s="1"/>
  <c r="R7" i="3"/>
  <c r="S7" i="3" s="1"/>
  <c r="R8" i="3"/>
  <c r="S8" i="3" s="1"/>
  <c r="R9" i="3"/>
  <c r="S9" i="3" s="1"/>
  <c r="R10" i="3"/>
  <c r="R11" i="3"/>
  <c r="S11" i="3" s="1"/>
  <c r="R12" i="3"/>
  <c r="T12" i="3" s="1"/>
  <c r="R13" i="3"/>
  <c r="T13" i="3" s="1"/>
  <c r="R14" i="3"/>
  <c r="S14" i="3" s="1"/>
  <c r="R15" i="3"/>
  <c r="R16" i="3"/>
  <c r="S16" i="3" s="1"/>
  <c r="R17" i="3"/>
  <c r="S17" i="3" s="1"/>
  <c r="R18" i="3"/>
  <c r="S18" i="3" s="1"/>
  <c r="R19" i="3"/>
  <c r="S19" i="3" s="1"/>
  <c r="R20" i="3"/>
  <c r="S20" i="3" s="1"/>
  <c r="R21" i="3"/>
  <c r="S21" i="3" s="1"/>
  <c r="R22" i="3"/>
  <c r="S22" i="3" s="1"/>
  <c r="R23" i="3"/>
  <c r="S23" i="3" s="1"/>
  <c r="R24" i="3"/>
  <c r="S24" i="3" s="1"/>
  <c r="R25" i="3"/>
  <c r="T25" i="3" s="1"/>
  <c r="R26" i="3"/>
  <c r="S26" i="3" s="1"/>
  <c r="R27" i="3"/>
  <c r="R28" i="3"/>
  <c r="S28" i="3" s="1"/>
  <c r="R29" i="3"/>
  <c r="S29" i="3" s="1"/>
  <c r="R30" i="3"/>
  <c r="S30" i="3" s="1"/>
  <c r="R31" i="3"/>
  <c r="S31" i="3" s="1"/>
  <c r="R32" i="3"/>
  <c r="S32" i="3" s="1"/>
  <c r="R33" i="3"/>
  <c r="S33" i="3" s="1"/>
  <c r="R34" i="3"/>
  <c r="S34" i="3" s="1"/>
  <c r="R35" i="3"/>
  <c r="S35" i="3" s="1"/>
  <c r="R36" i="3"/>
  <c r="T36" i="3" s="1"/>
  <c r="R37" i="3"/>
  <c r="T37" i="3" s="1"/>
  <c r="R38" i="3"/>
  <c r="S38" i="3" s="1"/>
  <c r="R39" i="3"/>
  <c r="R40" i="3"/>
  <c r="S40" i="3" s="1"/>
  <c r="R41" i="3"/>
  <c r="S41" i="3" s="1"/>
  <c r="R42" i="3"/>
  <c r="S42" i="3" s="1"/>
  <c r="R43" i="3"/>
  <c r="S43" i="3" s="1"/>
  <c r="R44" i="3"/>
  <c r="S44" i="3" s="1"/>
  <c r="R45" i="3"/>
  <c r="T45" i="3" s="1"/>
  <c r="R46" i="3"/>
  <c r="S46" i="3" s="1"/>
  <c r="R47" i="3"/>
  <c r="S47" i="3" s="1"/>
  <c r="R48" i="3"/>
  <c r="T48" i="3" s="1"/>
  <c r="R49" i="3"/>
  <c r="T49" i="3" s="1"/>
  <c r="R50" i="3"/>
  <c r="S50" i="3" s="1"/>
  <c r="R51" i="3"/>
  <c r="R52" i="3"/>
  <c r="S52" i="3" s="1"/>
  <c r="R53" i="3"/>
  <c r="S53" i="3" s="1"/>
  <c r="R54" i="3"/>
  <c r="S54" i="3" s="1"/>
  <c r="R55" i="3"/>
  <c r="S55" i="3" s="1"/>
  <c r="R56" i="3"/>
  <c r="S56" i="3" s="1"/>
  <c r="R57" i="3"/>
  <c r="T57" i="3" s="1"/>
  <c r="R58" i="3"/>
  <c r="S58" i="3" s="1"/>
  <c r="R59" i="3"/>
  <c r="S59" i="3" s="1"/>
  <c r="R60" i="3"/>
  <c r="T60" i="3" s="1"/>
  <c r="R61" i="3"/>
  <c r="T61" i="3" s="1"/>
  <c r="R62" i="3"/>
  <c r="S62" i="3" s="1"/>
  <c r="R63" i="3"/>
  <c r="R64" i="3"/>
  <c r="S64" i="3" s="1"/>
  <c r="R65" i="3"/>
  <c r="S65" i="3" s="1"/>
  <c r="R66" i="3"/>
  <c r="S66" i="3" s="1"/>
  <c r="R67" i="3"/>
  <c r="S67" i="3" s="1"/>
  <c r="R68" i="3"/>
  <c r="S68" i="3" s="1"/>
  <c r="R69" i="3"/>
  <c r="S69" i="3" s="1"/>
  <c r="R70" i="3"/>
  <c r="S70" i="3" s="1"/>
  <c r="R71" i="3"/>
  <c r="S71" i="3" s="1"/>
  <c r="R72" i="3"/>
  <c r="S72" i="3" s="1"/>
  <c r="R73" i="3"/>
  <c r="T73" i="3" s="1"/>
  <c r="R74" i="3"/>
  <c r="S74" i="3" s="1"/>
  <c r="R75" i="3"/>
  <c r="R76" i="3"/>
  <c r="S76" i="3" s="1"/>
  <c r="R77" i="3"/>
  <c r="S77" i="3" s="1"/>
  <c r="R78" i="3"/>
  <c r="S78" i="3" s="1"/>
  <c r="R79" i="3"/>
  <c r="S79" i="3" s="1"/>
  <c r="R80" i="3"/>
  <c r="S80" i="3" s="1"/>
  <c r="R81" i="3"/>
  <c r="T81" i="3" s="1"/>
  <c r="R82" i="3"/>
  <c r="S82" i="3" s="1"/>
  <c r="R83" i="3"/>
  <c r="S83" i="3" s="1"/>
  <c r="R84" i="3"/>
  <c r="T84" i="3" s="1"/>
  <c r="R85" i="3"/>
  <c r="T85" i="3" s="1"/>
  <c r="R86" i="3"/>
  <c r="S86" i="3" s="1"/>
  <c r="R87" i="3"/>
  <c r="R88" i="3"/>
  <c r="S88" i="3" s="1"/>
  <c r="R89" i="3"/>
  <c r="S89" i="3" s="1"/>
  <c r="R90" i="3"/>
  <c r="S90" i="3" s="1"/>
  <c r="R91" i="3"/>
  <c r="S91" i="3" s="1"/>
  <c r="R92" i="3"/>
  <c r="S92" i="3" s="1"/>
  <c r="R93" i="3"/>
  <c r="T93" i="3" s="1"/>
  <c r="R94" i="3"/>
  <c r="S94" i="3" s="1"/>
  <c r="R95" i="3"/>
  <c r="S95" i="3" s="1"/>
  <c r="R96" i="3"/>
  <c r="T96" i="3" s="1"/>
  <c r="R97" i="3"/>
  <c r="T97" i="3" s="1"/>
  <c r="R98" i="3"/>
  <c r="S98" i="3" s="1"/>
  <c r="R99" i="3"/>
  <c r="R100" i="3"/>
  <c r="S100" i="3" s="1"/>
  <c r="R101" i="3"/>
  <c r="S101" i="3" s="1"/>
  <c r="R102" i="3"/>
  <c r="S102" i="3" s="1"/>
  <c r="R103" i="3"/>
  <c r="S103" i="3" s="1"/>
  <c r="R104" i="3"/>
  <c r="S104" i="3" s="1"/>
  <c r="R105" i="3"/>
  <c r="T105" i="3" s="1"/>
  <c r="R106" i="3"/>
  <c r="S106" i="3" s="1"/>
  <c r="R107" i="3"/>
  <c r="S107" i="3" s="1"/>
  <c r="R108" i="3"/>
  <c r="T108" i="3" s="1"/>
  <c r="R109" i="3"/>
  <c r="T109" i="3" s="1"/>
  <c r="R110" i="3"/>
  <c r="S110" i="3" s="1"/>
  <c r="R111" i="3"/>
  <c r="R112" i="3"/>
  <c r="S112" i="3" s="1"/>
  <c r="R113" i="3"/>
  <c r="S113" i="3" s="1"/>
  <c r="R114" i="3"/>
  <c r="S114" i="3" s="1"/>
  <c r="R115" i="3"/>
  <c r="S115" i="3" s="1"/>
  <c r="R116" i="3"/>
  <c r="S116" i="3" s="1"/>
  <c r="R117" i="3"/>
  <c r="S117" i="3" s="1"/>
  <c r="R118" i="3"/>
  <c r="S118" i="3" s="1"/>
  <c r="R119" i="3"/>
  <c r="S119" i="3" s="1"/>
  <c r="R120" i="3"/>
  <c r="S120" i="3" s="1"/>
  <c r="R121" i="3"/>
  <c r="T121" i="3" s="1"/>
  <c r="R122" i="3"/>
  <c r="S122" i="3" s="1"/>
  <c r="R123" i="3"/>
  <c r="R124" i="3"/>
  <c r="S124" i="3" s="1"/>
  <c r="R125" i="3"/>
  <c r="S125" i="3" s="1"/>
  <c r="R126" i="3"/>
  <c r="S126" i="3" s="1"/>
  <c r="R127" i="3"/>
  <c r="S127" i="3" s="1"/>
  <c r="R128" i="3"/>
  <c r="S128" i="3" s="1"/>
  <c r="R129" i="3"/>
  <c r="S129" i="3" s="1"/>
  <c r="R130" i="3"/>
  <c r="S130" i="3" s="1"/>
  <c r="R131" i="3"/>
  <c r="S131" i="3" s="1"/>
  <c r="R132" i="3"/>
  <c r="T132" i="3" s="1"/>
  <c r="R133" i="3"/>
  <c r="T133" i="3" s="1"/>
  <c r="R134" i="3"/>
  <c r="S134" i="3" s="1"/>
  <c r="R135" i="3"/>
  <c r="R136" i="3"/>
  <c r="S136" i="3" s="1"/>
  <c r="R137" i="3"/>
  <c r="S137" i="3" s="1"/>
  <c r="R138" i="3"/>
  <c r="S138" i="3" s="1"/>
  <c r="R139" i="3"/>
  <c r="S139" i="3" s="1"/>
  <c r="R140" i="3"/>
  <c r="S140" i="3" s="1"/>
  <c r="R141" i="3"/>
  <c r="T141" i="3" s="1"/>
  <c r="R142" i="3"/>
  <c r="S142" i="3" s="1"/>
  <c r="R143" i="3"/>
  <c r="S143" i="3" s="1"/>
  <c r="R144" i="3"/>
  <c r="T144" i="3" s="1"/>
  <c r="R145" i="3"/>
  <c r="T145" i="3" s="1"/>
  <c r="R146" i="3"/>
  <c r="S146" i="3" s="1"/>
  <c r="R147" i="3"/>
  <c r="R148" i="3"/>
  <c r="S148" i="3" s="1"/>
  <c r="R149" i="3"/>
  <c r="S149" i="3" s="1"/>
  <c r="R150" i="3"/>
  <c r="S150" i="3" s="1"/>
  <c r="R151" i="3"/>
  <c r="S151" i="3" s="1"/>
  <c r="R152" i="3"/>
  <c r="S152" i="3" s="1"/>
  <c r="R153" i="3"/>
  <c r="S153" i="3" s="1"/>
  <c r="R154" i="3"/>
  <c r="S154" i="3" s="1"/>
  <c r="R155" i="3"/>
  <c r="S155" i="3" s="1"/>
  <c r="R156" i="3"/>
  <c r="T156" i="3" s="1"/>
  <c r="R157" i="3"/>
  <c r="T157" i="3" s="1"/>
  <c r="R158" i="3"/>
  <c r="S158" i="3" s="1"/>
  <c r="R159" i="3"/>
  <c r="R160" i="3"/>
  <c r="S160" i="3" s="1"/>
  <c r="R161" i="3"/>
  <c r="S161" i="3" s="1"/>
  <c r="R162" i="3"/>
  <c r="S162" i="3" s="1"/>
  <c r="R163" i="3"/>
  <c r="S163" i="3" s="1"/>
  <c r="R164" i="3"/>
  <c r="S164" i="3" s="1"/>
  <c r="R165" i="3"/>
  <c r="S165" i="3" s="1"/>
  <c r="R166" i="3"/>
  <c r="S166" i="3" s="1"/>
  <c r="R167" i="3"/>
  <c r="S167" i="3" s="1"/>
  <c r="R168" i="3"/>
  <c r="S168" i="3" s="1"/>
  <c r="R169" i="3"/>
  <c r="T169" i="3" s="1"/>
  <c r="R170" i="3"/>
  <c r="S170" i="3" s="1"/>
  <c r="R171" i="3"/>
  <c r="R172" i="3"/>
  <c r="S172" i="3" s="1"/>
  <c r="R173" i="3"/>
  <c r="S173" i="3" s="1"/>
  <c r="R174" i="3"/>
  <c r="S174" i="3" s="1"/>
  <c r="R175" i="3"/>
  <c r="S175" i="3" s="1"/>
  <c r="R176" i="3"/>
  <c r="S176" i="3" s="1"/>
  <c r="R177" i="3"/>
  <c r="S177" i="3" s="1"/>
  <c r="R178" i="3"/>
  <c r="S178" i="3" s="1"/>
  <c r="R179" i="3"/>
  <c r="S179" i="3" s="1"/>
  <c r="R180" i="3"/>
  <c r="T180" i="3" s="1"/>
  <c r="R181" i="3"/>
  <c r="T181" i="3" s="1"/>
  <c r="R182" i="3"/>
  <c r="S182" i="3" s="1"/>
  <c r="R183" i="3"/>
  <c r="R184" i="3"/>
  <c r="S184" i="3" s="1"/>
  <c r="R185" i="3"/>
  <c r="S185" i="3" s="1"/>
  <c r="R186" i="3"/>
  <c r="S186" i="3" s="1"/>
  <c r="R187" i="3"/>
  <c r="S187" i="3" s="1"/>
  <c r="R188" i="3"/>
  <c r="S188" i="3" s="1"/>
  <c r="R189" i="3"/>
  <c r="T189" i="3" s="1"/>
  <c r="R190" i="3"/>
  <c r="S190" i="3" s="1"/>
  <c r="R191" i="3"/>
  <c r="S191" i="3" s="1"/>
  <c r="R192" i="3"/>
  <c r="T192" i="3" s="1"/>
  <c r="R193" i="3"/>
  <c r="T193" i="3" s="1"/>
  <c r="R194" i="3"/>
  <c r="S194" i="3" s="1"/>
  <c r="R195" i="3"/>
  <c r="R196" i="3"/>
  <c r="S196" i="3" s="1"/>
  <c r="R197" i="3"/>
  <c r="S197" i="3" s="1"/>
  <c r="R198" i="3"/>
  <c r="S198" i="3" s="1"/>
  <c r="R199" i="3"/>
  <c r="S199" i="3" s="1"/>
  <c r="R200" i="3"/>
  <c r="S200" i="3" s="1"/>
  <c r="R201" i="3"/>
  <c r="S201" i="3" s="1"/>
  <c r="R202" i="3"/>
  <c r="S202" i="3" s="1"/>
  <c r="R203" i="3"/>
  <c r="S203" i="3" s="1"/>
  <c r="R204" i="3"/>
  <c r="T204" i="3" s="1"/>
  <c r="R205" i="3"/>
  <c r="T205" i="3" s="1"/>
  <c r="R206" i="3"/>
  <c r="S206" i="3" s="1"/>
  <c r="R207" i="3"/>
  <c r="R208" i="3"/>
  <c r="S208" i="3" s="1"/>
  <c r="R209" i="3"/>
  <c r="S209" i="3" s="1"/>
  <c r="R210" i="3"/>
  <c r="S210" i="3" s="1"/>
  <c r="R211" i="3"/>
  <c r="S211" i="3" s="1"/>
  <c r="R212" i="3"/>
  <c r="S212" i="3" s="1"/>
  <c r="R213" i="3"/>
  <c r="S213" i="3" s="1"/>
  <c r="R214" i="3"/>
  <c r="S214" i="3" s="1"/>
  <c r="R215" i="3"/>
  <c r="S215" i="3" s="1"/>
  <c r="R216" i="3"/>
  <c r="S216" i="3" s="1"/>
  <c r="R217" i="3"/>
  <c r="T217" i="3" s="1"/>
  <c r="R218" i="3"/>
  <c r="S218" i="3" s="1"/>
  <c r="R219" i="3"/>
  <c r="R220" i="3"/>
  <c r="S220" i="3" s="1"/>
  <c r="R221" i="3"/>
  <c r="S221" i="3" s="1"/>
  <c r="R222" i="3"/>
  <c r="S222" i="3" s="1"/>
  <c r="R223" i="3"/>
  <c r="S223" i="3" s="1"/>
  <c r="R224" i="3"/>
  <c r="S224" i="3" s="1"/>
  <c r="R225" i="3"/>
  <c r="S225" i="3" s="1"/>
  <c r="R226" i="3"/>
  <c r="S226" i="3" s="1"/>
  <c r="R227" i="3"/>
  <c r="S227" i="3" s="1"/>
  <c r="R228" i="3"/>
  <c r="T228" i="3" s="1"/>
  <c r="R229" i="3"/>
  <c r="T229" i="3" s="1"/>
  <c r="R230" i="3"/>
  <c r="S230" i="3" s="1"/>
  <c r="R231" i="3"/>
  <c r="R232" i="3"/>
  <c r="S232" i="3" s="1"/>
  <c r="R233" i="3"/>
  <c r="S233" i="3" s="1"/>
  <c r="R234" i="3"/>
  <c r="S234" i="3" s="1"/>
  <c r="R235" i="3"/>
  <c r="S235" i="3" s="1"/>
  <c r="R236" i="3"/>
  <c r="S236" i="3" s="1"/>
  <c r="R237" i="3"/>
  <c r="S237" i="3" s="1"/>
  <c r="R238" i="3"/>
  <c r="S238" i="3" s="1"/>
  <c r="R239" i="3"/>
  <c r="S239" i="3" s="1"/>
  <c r="R240" i="3"/>
  <c r="T240" i="3" s="1"/>
  <c r="R241" i="3"/>
  <c r="T241" i="3" s="1"/>
  <c r="R242" i="3"/>
  <c r="S242" i="3" s="1"/>
  <c r="R243" i="3"/>
  <c r="R244" i="3"/>
  <c r="S244" i="3" s="1"/>
  <c r="R245" i="3"/>
  <c r="S245" i="3" s="1"/>
  <c r="R246" i="3"/>
  <c r="S246" i="3" s="1"/>
  <c r="R247" i="3"/>
  <c r="S247" i="3" s="1"/>
  <c r="R248" i="3"/>
  <c r="S248" i="3" s="1"/>
  <c r="R249" i="3"/>
  <c r="T249" i="3" s="1"/>
  <c r="R250" i="3"/>
  <c r="S250" i="3" s="1"/>
  <c r="R251" i="3"/>
  <c r="S251" i="3" s="1"/>
  <c r="R252" i="3"/>
  <c r="T252" i="3" s="1"/>
  <c r="R253" i="3"/>
  <c r="T253" i="3" s="1"/>
  <c r="R254" i="3"/>
  <c r="S254" i="3" s="1"/>
  <c r="R255" i="3"/>
  <c r="R256" i="3"/>
  <c r="S256" i="3" s="1"/>
  <c r="R257" i="3"/>
  <c r="S257" i="3" s="1"/>
  <c r="R258" i="3"/>
  <c r="S258" i="3" s="1"/>
  <c r="R259" i="3"/>
  <c r="S259" i="3" s="1"/>
  <c r="R260" i="3"/>
  <c r="S260" i="3" s="1"/>
  <c r="R261" i="3"/>
  <c r="S261" i="3" s="1"/>
  <c r="R262" i="3"/>
  <c r="S262" i="3" s="1"/>
  <c r="R263" i="3"/>
  <c r="S263" i="3" s="1"/>
  <c r="R264" i="3"/>
  <c r="S264" i="3" s="1"/>
  <c r="R265" i="3"/>
  <c r="T265" i="3" s="1"/>
  <c r="R266" i="3"/>
  <c r="S266" i="3" s="1"/>
  <c r="R267" i="3"/>
  <c r="R268" i="3"/>
  <c r="S268" i="3" s="1"/>
  <c r="R269" i="3"/>
  <c r="S269" i="3" s="1"/>
  <c r="R270" i="3"/>
  <c r="S270" i="3" s="1"/>
  <c r="R271" i="3"/>
  <c r="S271" i="3" s="1"/>
  <c r="R272" i="3"/>
  <c r="S272" i="3" s="1"/>
  <c r="R273" i="3"/>
  <c r="S273" i="3" s="1"/>
  <c r="R274" i="3"/>
  <c r="S274" i="3" s="1"/>
  <c r="R275" i="3"/>
  <c r="S275" i="3" s="1"/>
  <c r="R276" i="3"/>
  <c r="T276" i="3" s="1"/>
  <c r="R277" i="3"/>
  <c r="T277" i="3" s="1"/>
  <c r="R278" i="3"/>
  <c r="S278" i="3" s="1"/>
  <c r="R279" i="3"/>
  <c r="R280" i="3"/>
  <c r="S280" i="3" s="1"/>
  <c r="R281" i="3"/>
  <c r="S281" i="3" s="1"/>
  <c r="R282" i="3"/>
  <c r="S282" i="3" s="1"/>
  <c r="R283" i="3"/>
  <c r="S283" i="3" s="1"/>
  <c r="R284" i="3"/>
  <c r="S284" i="3" s="1"/>
  <c r="R285" i="3"/>
  <c r="T285" i="3" s="1"/>
  <c r="R286" i="3"/>
  <c r="S286" i="3" s="1"/>
  <c r="R287" i="3"/>
  <c r="S287" i="3" s="1"/>
  <c r="R288" i="3"/>
  <c r="T288" i="3" s="1"/>
  <c r="R289" i="3"/>
  <c r="T289" i="3" s="1"/>
  <c r="R290" i="3"/>
  <c r="S290" i="3" s="1"/>
  <c r="R291" i="3"/>
  <c r="R292" i="3"/>
  <c r="S292" i="3" s="1"/>
  <c r="R293" i="3"/>
  <c r="S293" i="3" s="1"/>
  <c r="R294" i="3"/>
  <c r="S294" i="3" s="1"/>
  <c r="R295" i="3"/>
  <c r="S295" i="3" s="1"/>
  <c r="R296" i="3"/>
  <c r="S296" i="3" s="1"/>
  <c r="R297" i="3"/>
  <c r="S297" i="3" s="1"/>
  <c r="R298" i="3"/>
  <c r="S298" i="3" s="1"/>
  <c r="R299" i="3"/>
  <c r="S299" i="3" s="1"/>
  <c r="R300" i="3"/>
  <c r="T300" i="3" s="1"/>
  <c r="R301" i="3"/>
  <c r="T301" i="3" s="1"/>
  <c r="R302" i="3"/>
  <c r="S302" i="3" s="1"/>
  <c r="R303" i="3"/>
  <c r="R304" i="3"/>
  <c r="S304" i="3" s="1"/>
  <c r="R305" i="3"/>
  <c r="S305" i="3" s="1"/>
  <c r="R306" i="3"/>
  <c r="S306" i="3" s="1"/>
  <c r="R307" i="3"/>
  <c r="S307" i="3" s="1"/>
  <c r="R308" i="3"/>
  <c r="S308" i="3" s="1"/>
  <c r="R309" i="3"/>
  <c r="S309" i="3" s="1"/>
  <c r="R310" i="3"/>
  <c r="S310" i="3" s="1"/>
  <c r="R311" i="3"/>
  <c r="S311" i="3" s="1"/>
  <c r="R312" i="3"/>
  <c r="S312" i="3" s="1"/>
  <c r="R313" i="3"/>
  <c r="T313" i="3" s="1"/>
  <c r="R314" i="3"/>
  <c r="S314" i="3" s="1"/>
  <c r="R315" i="3"/>
  <c r="R316" i="3"/>
  <c r="S316" i="3" s="1"/>
  <c r="R317" i="3"/>
  <c r="S317" i="3" s="1"/>
  <c r="R318" i="3"/>
  <c r="S318" i="3" s="1"/>
  <c r="R319" i="3"/>
  <c r="S319" i="3" s="1"/>
  <c r="R320" i="3"/>
  <c r="S320" i="3" s="1"/>
  <c r="R321" i="3"/>
  <c r="S321" i="3" s="1"/>
  <c r="R322" i="3"/>
  <c r="S322" i="3" s="1"/>
  <c r="R323" i="3"/>
  <c r="S323" i="3" s="1"/>
  <c r="R324" i="3"/>
  <c r="T324" i="3" s="1"/>
  <c r="R325" i="3"/>
  <c r="T325" i="3" s="1"/>
  <c r="R326" i="3"/>
  <c r="S326" i="3" s="1"/>
  <c r="R327" i="3"/>
  <c r="R328" i="3"/>
  <c r="S328" i="3" s="1"/>
  <c r="R329" i="3"/>
  <c r="S329" i="3" s="1"/>
  <c r="R330" i="3"/>
  <c r="S330" i="3" s="1"/>
  <c r="R331" i="3"/>
  <c r="S331" i="3" s="1"/>
  <c r="R332" i="3"/>
  <c r="S332" i="3" s="1"/>
  <c r="R333" i="3"/>
  <c r="T333" i="3" s="1"/>
  <c r="R334" i="3"/>
  <c r="S334" i="3" s="1"/>
  <c r="R335" i="3"/>
  <c r="S335" i="3" s="1"/>
  <c r="R336" i="3"/>
  <c r="T336" i="3" s="1"/>
  <c r="R337" i="3"/>
  <c r="T337" i="3" s="1"/>
  <c r="R338" i="3"/>
  <c r="S338" i="3" s="1"/>
  <c r="R339" i="3"/>
  <c r="R340" i="3"/>
  <c r="S340" i="3" s="1"/>
  <c r="R341" i="3"/>
  <c r="S341" i="3" s="1"/>
  <c r="R342" i="3"/>
  <c r="S342" i="3" s="1"/>
  <c r="R343" i="3"/>
  <c r="S343" i="3" s="1"/>
  <c r="R344" i="3"/>
  <c r="S344" i="3" s="1"/>
  <c r="R345" i="3"/>
  <c r="T345" i="3" s="1"/>
  <c r="R346" i="3"/>
  <c r="S346" i="3" s="1"/>
  <c r="R347" i="3"/>
  <c r="S347" i="3" s="1"/>
  <c r="R348" i="3"/>
  <c r="T348" i="3" s="1"/>
  <c r="R349" i="3"/>
  <c r="T349" i="3" s="1"/>
  <c r="R350" i="3"/>
  <c r="S350" i="3" s="1"/>
  <c r="R351" i="3"/>
  <c r="R352" i="3"/>
  <c r="S352" i="3" s="1"/>
  <c r="R353" i="3"/>
  <c r="S353" i="3" s="1"/>
  <c r="R354" i="3"/>
  <c r="S354" i="3" s="1"/>
  <c r="R355" i="3"/>
  <c r="S355" i="3" s="1"/>
  <c r="R356" i="3"/>
  <c r="S356" i="3" s="1"/>
  <c r="R357" i="3"/>
  <c r="S357" i="3" s="1"/>
  <c r="R358" i="3"/>
  <c r="S358" i="3" s="1"/>
  <c r="R359" i="3"/>
  <c r="S359" i="3" s="1"/>
  <c r="R360" i="3"/>
  <c r="S360" i="3" s="1"/>
  <c r="R361" i="3"/>
  <c r="T361" i="3" s="1"/>
  <c r="R362" i="3"/>
  <c r="S362" i="3" s="1"/>
  <c r="R363" i="3"/>
  <c r="R364" i="3"/>
  <c r="S364" i="3" s="1"/>
  <c r="R365" i="3"/>
  <c r="S365" i="3" s="1"/>
  <c r="R366" i="3"/>
  <c r="S366" i="3" s="1"/>
  <c r="R367" i="3"/>
  <c r="S367" i="3" s="1"/>
  <c r="R368" i="3"/>
  <c r="S368" i="3" s="1"/>
  <c r="R369" i="3"/>
  <c r="S369" i="3" s="1"/>
  <c r="R370" i="3"/>
  <c r="S370" i="3" s="1"/>
  <c r="R371" i="3"/>
  <c r="S371" i="3" s="1"/>
  <c r="R372" i="3"/>
  <c r="T372" i="3" s="1"/>
  <c r="R373" i="3"/>
  <c r="T373" i="3" s="1"/>
  <c r="R374" i="3"/>
  <c r="S374" i="3" s="1"/>
  <c r="R375" i="3"/>
  <c r="R376" i="3"/>
  <c r="S376" i="3" s="1"/>
  <c r="R377" i="3"/>
  <c r="S377" i="3" s="1"/>
  <c r="R378" i="3"/>
  <c r="S378" i="3" s="1"/>
  <c r="R379" i="3"/>
  <c r="S379" i="3" s="1"/>
  <c r="R380" i="3"/>
  <c r="S380" i="3" s="1"/>
  <c r="R381" i="3"/>
  <c r="T381" i="3" s="1"/>
  <c r="R382" i="3"/>
  <c r="S382" i="3" s="1"/>
  <c r="R383" i="3"/>
  <c r="S383" i="3" s="1"/>
  <c r="R384" i="3"/>
  <c r="T384" i="3" s="1"/>
  <c r="R385" i="3"/>
  <c r="T385" i="3" s="1"/>
  <c r="R386" i="3"/>
  <c r="S386" i="3" s="1"/>
  <c r="R387" i="3"/>
  <c r="R388" i="3"/>
  <c r="S388" i="3" s="1"/>
  <c r="R389" i="3"/>
  <c r="S389" i="3" s="1"/>
  <c r="R390" i="3"/>
  <c r="S390" i="3" s="1"/>
  <c r="R391" i="3"/>
  <c r="S391" i="3" s="1"/>
  <c r="R392" i="3"/>
  <c r="S392" i="3" s="1"/>
  <c r="R393" i="3"/>
  <c r="T393" i="3" s="1"/>
  <c r="R394" i="3"/>
  <c r="S394" i="3" s="1"/>
  <c r="R395" i="3"/>
  <c r="S395" i="3" s="1"/>
  <c r="R396" i="3"/>
  <c r="T396" i="3" s="1"/>
  <c r="R397" i="3"/>
  <c r="T397" i="3" s="1"/>
  <c r="R398" i="3"/>
  <c r="S398" i="3" s="1"/>
  <c r="R399" i="3"/>
  <c r="S399" i="3" s="1"/>
  <c r="R400" i="3"/>
  <c r="S400" i="3" s="1"/>
  <c r="R401" i="3"/>
  <c r="S401" i="3" s="1"/>
  <c r="R402" i="3"/>
  <c r="S402" i="3" s="1"/>
  <c r="R403" i="3"/>
  <c r="S403" i="3" s="1"/>
  <c r="R404" i="3"/>
  <c r="S404" i="3" s="1"/>
  <c r="R405" i="3"/>
  <c r="S405" i="3" s="1"/>
  <c r="R406" i="3"/>
  <c r="S406" i="3" s="1"/>
  <c r="R407" i="3"/>
  <c r="S407" i="3" s="1"/>
  <c r="R408" i="3"/>
  <c r="S408" i="3" s="1"/>
  <c r="R409" i="3"/>
  <c r="T409" i="3" s="1"/>
  <c r="R410" i="3"/>
  <c r="S410" i="3" s="1"/>
  <c r="R411" i="3"/>
  <c r="S411" i="3" s="1"/>
  <c r="R412" i="3"/>
  <c r="S412" i="3" s="1"/>
  <c r="R413" i="3"/>
  <c r="S413" i="3" s="1"/>
  <c r="R414" i="3"/>
  <c r="S414" i="3" s="1"/>
  <c r="R415" i="3"/>
  <c r="S415" i="3" s="1"/>
  <c r="R416" i="3"/>
  <c r="S416" i="3" s="1"/>
  <c r="R417" i="3"/>
  <c r="S417" i="3" s="1"/>
  <c r="R418" i="3"/>
  <c r="S418" i="3" s="1"/>
  <c r="R419" i="3"/>
  <c r="S419" i="3" s="1"/>
  <c r="R420" i="3"/>
  <c r="T420" i="3" s="1"/>
  <c r="R421" i="3"/>
  <c r="T421" i="3" s="1"/>
  <c r="R422" i="3"/>
  <c r="S422" i="3" s="1"/>
  <c r="R423" i="3"/>
  <c r="S423" i="3" s="1"/>
  <c r="R424" i="3"/>
  <c r="S424" i="3" s="1"/>
  <c r="R425" i="3"/>
  <c r="S425" i="3" s="1"/>
  <c r="R426" i="3"/>
  <c r="S426" i="3" s="1"/>
  <c r="R427" i="3"/>
  <c r="S427" i="3" s="1"/>
  <c r="R428" i="3"/>
  <c r="S428" i="3" s="1"/>
  <c r="R429" i="3"/>
  <c r="T429" i="3" s="1"/>
  <c r="R430" i="3"/>
  <c r="S430" i="3" s="1"/>
  <c r="R431" i="3"/>
  <c r="S431" i="3" s="1"/>
  <c r="R432" i="3"/>
  <c r="T432" i="3" s="1"/>
  <c r="R433" i="3"/>
  <c r="T433" i="3" s="1"/>
  <c r="R434" i="3"/>
  <c r="S434" i="3" s="1"/>
  <c r="R435" i="3"/>
  <c r="S435" i="3" s="1"/>
  <c r="R436" i="3"/>
  <c r="S436" i="3" s="1"/>
  <c r="R437" i="3"/>
  <c r="S437" i="3" s="1"/>
  <c r="R438" i="3"/>
  <c r="S438" i="3" s="1"/>
  <c r="R439" i="3"/>
  <c r="S439" i="3" s="1"/>
  <c r="R440" i="3"/>
  <c r="S440" i="3" s="1"/>
  <c r="R441" i="3"/>
  <c r="S441" i="3" s="1"/>
  <c r="R442" i="3"/>
  <c r="S442" i="3" s="1"/>
  <c r="R443" i="3"/>
  <c r="S443" i="3" s="1"/>
  <c r="R444" i="3"/>
  <c r="T444" i="3" s="1"/>
  <c r="R445" i="3"/>
  <c r="T445" i="3" s="1"/>
  <c r="R446" i="3"/>
  <c r="S446" i="3" s="1"/>
  <c r="R447" i="3"/>
  <c r="S447" i="3" s="1"/>
  <c r="R448" i="3"/>
  <c r="S448" i="3" s="1"/>
  <c r="R449" i="3"/>
  <c r="S449" i="3" s="1"/>
  <c r="R450" i="3"/>
  <c r="S450" i="3" s="1"/>
  <c r="R451" i="3"/>
  <c r="S451" i="3" s="1"/>
  <c r="R452" i="3"/>
  <c r="S452" i="3" s="1"/>
  <c r="R453" i="3"/>
  <c r="S453" i="3" s="1"/>
  <c r="R454" i="3"/>
  <c r="S454" i="3" s="1"/>
  <c r="R455" i="3"/>
  <c r="S455" i="3" s="1"/>
  <c r="R456" i="3"/>
  <c r="S456" i="3" s="1"/>
  <c r="R457" i="3"/>
  <c r="T457" i="3" s="1"/>
  <c r="R458" i="3"/>
  <c r="S458" i="3" s="1"/>
  <c r="R459" i="3"/>
  <c r="S459" i="3" s="1"/>
  <c r="R460" i="3"/>
  <c r="S460" i="3" s="1"/>
  <c r="R461" i="3"/>
  <c r="S461" i="3" s="1"/>
  <c r="R462" i="3"/>
  <c r="S462" i="3" s="1"/>
  <c r="R463" i="3"/>
  <c r="S463" i="3" s="1"/>
  <c r="R464" i="3"/>
  <c r="S464" i="3" s="1"/>
  <c r="R465" i="3"/>
  <c r="T465" i="3" s="1"/>
  <c r="R466" i="3"/>
  <c r="S466" i="3" s="1"/>
  <c r="R467" i="3"/>
  <c r="S467" i="3" s="1"/>
  <c r="R468" i="3"/>
  <c r="T468" i="3" s="1"/>
  <c r="R469" i="3"/>
  <c r="T469" i="3" s="1"/>
  <c r="R470" i="3"/>
  <c r="S470" i="3" s="1"/>
  <c r="R471" i="3"/>
  <c r="S471" i="3" s="1"/>
  <c r="R472" i="3"/>
  <c r="S472" i="3" s="1"/>
  <c r="R473" i="3"/>
  <c r="S473" i="3" s="1"/>
  <c r="R474" i="3"/>
  <c r="S474" i="3" s="1"/>
  <c r="R475" i="3"/>
  <c r="S475" i="3" s="1"/>
  <c r="R476" i="3"/>
  <c r="S476" i="3" s="1"/>
  <c r="R477" i="3"/>
  <c r="T477" i="3" s="1"/>
  <c r="R478" i="3"/>
  <c r="S478" i="3" s="1"/>
  <c r="R479" i="3"/>
  <c r="S479" i="3" s="1"/>
  <c r="R480" i="3"/>
  <c r="T480" i="3" s="1"/>
  <c r="R481" i="3"/>
  <c r="T481" i="3" s="1"/>
  <c r="R482" i="3"/>
  <c r="S482" i="3" s="1"/>
  <c r="R483" i="3"/>
  <c r="S483" i="3" s="1"/>
  <c r="R484" i="3"/>
  <c r="S484" i="3" s="1"/>
  <c r="R485" i="3"/>
  <c r="S485" i="3" s="1"/>
  <c r="R486" i="3"/>
  <c r="S486" i="3" s="1"/>
  <c r="R487" i="3"/>
  <c r="S487" i="3" s="1"/>
  <c r="R488" i="3"/>
  <c r="S488" i="3" s="1"/>
  <c r="R489" i="3"/>
  <c r="S489" i="3" s="1"/>
  <c r="R490" i="3"/>
  <c r="S490" i="3" s="1"/>
  <c r="R491" i="3"/>
  <c r="S491" i="3" s="1"/>
  <c r="R492" i="3"/>
  <c r="T492" i="3" s="1"/>
  <c r="R493" i="3"/>
  <c r="T493" i="3" s="1"/>
  <c r="R494" i="3"/>
  <c r="S494" i="3" s="1"/>
  <c r="R495" i="3"/>
  <c r="S495" i="3" s="1"/>
  <c r="R496" i="3"/>
  <c r="S496" i="3" s="1"/>
  <c r="R497" i="3"/>
  <c r="S497" i="3" s="1"/>
  <c r="R498" i="3"/>
  <c r="S498" i="3" s="1"/>
  <c r="R499" i="3"/>
  <c r="S499" i="3" s="1"/>
  <c r="R500" i="3"/>
  <c r="S500" i="3" s="1"/>
  <c r="R501" i="3"/>
  <c r="S501" i="3" s="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T358" i="3" l="1"/>
  <c r="S249" i="3"/>
  <c r="S81" i="3"/>
  <c r="T274" i="3"/>
  <c r="T213" i="3"/>
  <c r="T273" i="3"/>
  <c r="S57" i="3"/>
  <c r="T500" i="3"/>
  <c r="T392" i="3"/>
  <c r="T209" i="3"/>
  <c r="T165" i="3"/>
  <c r="T104" i="3"/>
  <c r="S285" i="3"/>
  <c r="T499" i="3"/>
  <c r="T463" i="3"/>
  <c r="T427" i="3"/>
  <c r="T391" i="3"/>
  <c r="T369" i="3"/>
  <c r="T352" i="3"/>
  <c r="T308" i="3"/>
  <c r="T286" i="3"/>
  <c r="T269" i="3"/>
  <c r="T247" i="3"/>
  <c r="T225" i="3"/>
  <c r="T208" i="3"/>
  <c r="T164" i="3"/>
  <c r="T142" i="3"/>
  <c r="T125" i="3"/>
  <c r="T103" i="3"/>
  <c r="T64" i="3"/>
  <c r="T20" i="3"/>
  <c r="T357" i="3"/>
  <c r="T356" i="3"/>
  <c r="T68" i="3"/>
  <c r="S345" i="3"/>
  <c r="T353" i="3"/>
  <c r="T248" i="3"/>
  <c r="T82" i="3"/>
  <c r="T21" i="3"/>
  <c r="S387" i="3"/>
  <c r="T387" i="3"/>
  <c r="S351" i="3"/>
  <c r="T351" i="3"/>
  <c r="S327" i="3"/>
  <c r="T327" i="3"/>
  <c r="S303" i="3"/>
  <c r="T303" i="3"/>
  <c r="S291" i="3"/>
  <c r="T291" i="3"/>
  <c r="S267" i="3"/>
  <c r="T267" i="3"/>
  <c r="S255" i="3"/>
  <c r="T255" i="3"/>
  <c r="S231" i="3"/>
  <c r="T231" i="3"/>
  <c r="S219" i="3"/>
  <c r="T219" i="3"/>
  <c r="S207" i="3"/>
  <c r="T207" i="3"/>
  <c r="S195" i="3"/>
  <c r="T195" i="3"/>
  <c r="S183" i="3"/>
  <c r="T183" i="3"/>
  <c r="S159" i="3"/>
  <c r="T159" i="3"/>
  <c r="S147" i="3"/>
  <c r="T147" i="3"/>
  <c r="S135" i="3"/>
  <c r="T135" i="3"/>
  <c r="S123" i="3"/>
  <c r="T123" i="3"/>
  <c r="S111" i="3"/>
  <c r="T111" i="3"/>
  <c r="S99" i="3"/>
  <c r="T99" i="3"/>
  <c r="S87" i="3"/>
  <c r="T87" i="3"/>
  <c r="S75" i="3"/>
  <c r="T75" i="3"/>
  <c r="S63" i="3"/>
  <c r="T63" i="3"/>
  <c r="S51" i="3"/>
  <c r="T51" i="3"/>
  <c r="S39" i="3"/>
  <c r="T39" i="3"/>
  <c r="S27" i="3"/>
  <c r="T27" i="3"/>
  <c r="S15" i="3"/>
  <c r="T15" i="3"/>
  <c r="S3" i="3"/>
  <c r="T3" i="3"/>
  <c r="S393" i="3"/>
  <c r="S105" i="3"/>
  <c r="T478" i="3"/>
  <c r="T442" i="3"/>
  <c r="T406" i="3"/>
  <c r="T368" i="3"/>
  <c r="T346" i="3"/>
  <c r="T329" i="3"/>
  <c r="T307" i="3"/>
  <c r="T268" i="3"/>
  <c r="T224" i="3"/>
  <c r="T202" i="3"/>
  <c r="T185" i="3"/>
  <c r="T163" i="3"/>
  <c r="T124" i="3"/>
  <c r="T80" i="3"/>
  <c r="T58" i="3"/>
  <c r="T41" i="3"/>
  <c r="T19" i="3"/>
  <c r="T214" i="3"/>
  <c r="T130" i="3"/>
  <c r="T69" i="3"/>
  <c r="S477" i="3"/>
  <c r="S189" i="3"/>
  <c r="S465" i="3"/>
  <c r="T464" i="3"/>
  <c r="T428" i="3"/>
  <c r="T370" i="3"/>
  <c r="T309" i="3"/>
  <c r="T226" i="3"/>
  <c r="T65" i="3"/>
  <c r="S375" i="3"/>
  <c r="T375" i="3"/>
  <c r="S363" i="3"/>
  <c r="T363" i="3"/>
  <c r="S339" i="3"/>
  <c r="T339" i="3"/>
  <c r="S315" i="3"/>
  <c r="T315" i="3"/>
  <c r="S279" i="3"/>
  <c r="T279" i="3"/>
  <c r="S243" i="3"/>
  <c r="T243" i="3"/>
  <c r="S171" i="3"/>
  <c r="T171" i="3"/>
  <c r="S333" i="3"/>
  <c r="S45" i="3"/>
  <c r="T497" i="3"/>
  <c r="T461" i="3"/>
  <c r="T441" i="3"/>
  <c r="T425" i="3"/>
  <c r="T405" i="3"/>
  <c r="T389" i="3"/>
  <c r="T367" i="3"/>
  <c r="T328" i="3"/>
  <c r="T284" i="3"/>
  <c r="T262" i="3"/>
  <c r="T245" i="3"/>
  <c r="T223" i="3"/>
  <c r="T201" i="3"/>
  <c r="T184" i="3"/>
  <c r="T140" i="3"/>
  <c r="T118" i="3"/>
  <c r="T101" i="3"/>
  <c r="T79" i="3"/>
  <c r="T40" i="3"/>
  <c r="T334" i="3"/>
  <c r="T212" i="3"/>
  <c r="T190" i="3"/>
  <c r="T129" i="3"/>
  <c r="T496" i="3"/>
  <c r="T476" i="3"/>
  <c r="T460" i="3"/>
  <c r="T440" i="3"/>
  <c r="T424" i="3"/>
  <c r="T404" i="3"/>
  <c r="T388" i="3"/>
  <c r="T344" i="3"/>
  <c r="T322" i="3"/>
  <c r="T305" i="3"/>
  <c r="T283" i="3"/>
  <c r="T261" i="3"/>
  <c r="T244" i="3"/>
  <c r="T200" i="3"/>
  <c r="T178" i="3"/>
  <c r="T161" i="3"/>
  <c r="T139" i="3"/>
  <c r="T117" i="3"/>
  <c r="T100" i="3"/>
  <c r="T56" i="3"/>
  <c r="T34" i="3"/>
  <c r="T17" i="3"/>
  <c r="T16" i="3"/>
  <c r="T490" i="3"/>
  <c r="T454" i="3"/>
  <c r="T418" i="3"/>
  <c r="T364" i="3"/>
  <c r="T320" i="3"/>
  <c r="T298" i="3"/>
  <c r="T281" i="3"/>
  <c r="T259" i="3"/>
  <c r="T237" i="3"/>
  <c r="T220" i="3"/>
  <c r="T176" i="3"/>
  <c r="T154" i="3"/>
  <c r="T137" i="3"/>
  <c r="T115" i="3"/>
  <c r="T76" i="3"/>
  <c r="T32" i="3"/>
  <c r="T9" i="3"/>
  <c r="S10" i="3"/>
  <c r="T10" i="3"/>
  <c r="T70" i="3"/>
  <c r="T46" i="3"/>
  <c r="T466" i="3"/>
  <c r="T430" i="3"/>
  <c r="T394" i="3"/>
  <c r="T377" i="3"/>
  <c r="T355" i="3"/>
  <c r="T272" i="3"/>
  <c r="T250" i="3"/>
  <c r="T233" i="3"/>
  <c r="T211" i="3"/>
  <c r="T128" i="3"/>
  <c r="T106" i="3"/>
  <c r="T89" i="3"/>
  <c r="T67" i="3"/>
  <c r="T501" i="3"/>
  <c r="T485" i="3"/>
  <c r="T449" i="3"/>
  <c r="T413" i="3"/>
  <c r="T376" i="3"/>
  <c r="T354" i="3"/>
  <c r="T332" i="3"/>
  <c r="T310" i="3"/>
  <c r="T293" i="3"/>
  <c r="T271" i="3"/>
  <c r="T232" i="3"/>
  <c r="T210" i="3"/>
  <c r="T188" i="3"/>
  <c r="T166" i="3"/>
  <c r="T149" i="3"/>
  <c r="T127" i="3"/>
  <c r="T88" i="3"/>
  <c r="T66" i="3"/>
  <c r="T44" i="3"/>
  <c r="T22" i="3"/>
  <c r="T4" i="3"/>
  <c r="T456" i="3"/>
  <c r="T408" i="3"/>
  <c r="T360" i="3"/>
  <c r="T312" i="3"/>
  <c r="T264" i="3"/>
  <c r="T216" i="3"/>
  <c r="T168" i="3"/>
  <c r="T120" i="3"/>
  <c r="T72" i="3"/>
  <c r="T24" i="3"/>
  <c r="T491" i="3"/>
  <c r="T479" i="3"/>
  <c r="T467" i="3"/>
  <c r="T455" i="3"/>
  <c r="T443" i="3"/>
  <c r="T431" i="3"/>
  <c r="T419" i="3"/>
  <c r="T407" i="3"/>
  <c r="T395" i="3"/>
  <c r="T383" i="3"/>
  <c r="T371" i="3"/>
  <c r="T359" i="3"/>
  <c r="T347" i="3"/>
  <c r="T335" i="3"/>
  <c r="T323" i="3"/>
  <c r="T311" i="3"/>
  <c r="T299" i="3"/>
  <c r="T287" i="3"/>
  <c r="T275" i="3"/>
  <c r="T263" i="3"/>
  <c r="T251" i="3"/>
  <c r="T239" i="3"/>
  <c r="T227" i="3"/>
  <c r="T215" i="3"/>
  <c r="T203" i="3"/>
  <c r="T191" i="3"/>
  <c r="T179" i="3"/>
  <c r="T167" i="3"/>
  <c r="T155" i="3"/>
  <c r="T143" i="3"/>
  <c r="T131" i="3"/>
  <c r="T119" i="3"/>
  <c r="T107" i="3"/>
  <c r="T95" i="3"/>
  <c r="T83" i="3"/>
  <c r="T71" i="3"/>
  <c r="T59" i="3"/>
  <c r="T47" i="3"/>
  <c r="T35" i="3"/>
  <c r="T23" i="3"/>
  <c r="T11" i="3"/>
  <c r="T494" i="3"/>
  <c r="T482" i="3"/>
  <c r="T470" i="3"/>
  <c r="T458" i="3"/>
  <c r="T446" i="3"/>
  <c r="T434" i="3"/>
  <c r="T422" i="3"/>
  <c r="T410" i="3"/>
  <c r="T398" i="3"/>
  <c r="T386" i="3"/>
  <c r="T374" i="3"/>
  <c r="T362" i="3"/>
  <c r="T350" i="3"/>
  <c r="T338" i="3"/>
  <c r="T326" i="3"/>
  <c r="T314" i="3"/>
  <c r="T302" i="3"/>
  <c r="T290" i="3"/>
  <c r="T278" i="3"/>
  <c r="T266" i="3"/>
  <c r="T254" i="3"/>
  <c r="T242" i="3"/>
  <c r="T230" i="3"/>
  <c r="T218" i="3"/>
  <c r="T206" i="3"/>
  <c r="T194" i="3"/>
  <c r="T182" i="3"/>
  <c r="T170" i="3"/>
  <c r="T158" i="3"/>
  <c r="T146" i="3"/>
  <c r="T134" i="3"/>
  <c r="T122" i="3"/>
  <c r="T110" i="3"/>
  <c r="T98" i="3"/>
  <c r="T86" i="3"/>
  <c r="T74" i="3"/>
  <c r="T62" i="3"/>
  <c r="T50" i="3"/>
  <c r="T38" i="3"/>
  <c r="T26" i="3"/>
  <c r="T14" i="3"/>
  <c r="T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4B2D05-B7D9-4128-8DF4-52DC7688B9DA}"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2" xr16:uid="{DB70BFB9-9180-4635-9EFC-F79497AD99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402323B-6EC4-45EF-8DC8-EB6F4841A7A9}" name="WorksheetConnection_Agricultural_Crop_Yield.xlsx!Table1_2" type="102" refreshedVersion="8" minRefreshableVersion="5">
    <extLst>
      <ext xmlns:x15="http://schemas.microsoft.com/office/spreadsheetml/2010/11/main" uri="{DE250136-89BD-433C-8126-D09CA5730AF9}">
        <x15:connection id="Table1_2" autoDelete="1">
          <x15:rangePr sourceName="_xlcn.WorksheetConnection_Agricultural_Crop_Yield.xlsxTable1_21"/>
        </x15:connection>
      </ext>
    </extLst>
  </connection>
</connections>
</file>

<file path=xl/sharedStrings.xml><?xml version="1.0" encoding="utf-8"?>
<sst xmlns="http://schemas.openxmlformats.org/spreadsheetml/2006/main" count="8319" uniqueCount="583">
  <si>
    <t>Crop ID</t>
  </si>
  <si>
    <t>Date</t>
  </si>
  <si>
    <t>Year</t>
  </si>
  <si>
    <t>State</t>
  </si>
  <si>
    <t>District</t>
  </si>
  <si>
    <t>Season</t>
  </si>
  <si>
    <t>Crop Name</t>
  </si>
  <si>
    <t>Area (Hectares)</t>
  </si>
  <si>
    <t>Production (Tonnes)</t>
  </si>
  <si>
    <t>Yield (Kg/Ha)</t>
  </si>
  <si>
    <t>Irrigation Type</t>
  </si>
  <si>
    <t>Fertilizer Type</t>
  </si>
  <si>
    <t>Fertilizer Used (Kg)</t>
  </si>
  <si>
    <t>Rainfall (mm)</t>
  </si>
  <si>
    <t>Soil Type</t>
  </si>
  <si>
    <t>Temperature (Celsius)</t>
  </si>
  <si>
    <t>CID1</t>
  </si>
  <si>
    <t>Uttar Pradesh</t>
  </si>
  <si>
    <t>Lucknow</t>
  </si>
  <si>
    <t>Zaid</t>
  </si>
  <si>
    <t>Maize</t>
  </si>
  <si>
    <t>Canal</t>
  </si>
  <si>
    <t>Urea</t>
  </si>
  <si>
    <t>Black</t>
  </si>
  <si>
    <t>CID2</t>
  </si>
  <si>
    <t>Punjab</t>
  </si>
  <si>
    <t>Ludhiana</t>
  </si>
  <si>
    <t>Pulses</t>
  </si>
  <si>
    <t>Drip</t>
  </si>
  <si>
    <t>Compost</t>
  </si>
  <si>
    <t>CID3</t>
  </si>
  <si>
    <t>Maharashtra</t>
  </si>
  <si>
    <t>Pune</t>
  </si>
  <si>
    <t>Kharif</t>
  </si>
  <si>
    <t>Rainfed</t>
  </si>
  <si>
    <t>CID4</t>
  </si>
  <si>
    <t>Karnataka</t>
  </si>
  <si>
    <t>Bangalore</t>
  </si>
  <si>
    <t>Rabi</t>
  </si>
  <si>
    <t>Cotton</t>
  </si>
  <si>
    <t>Borewell</t>
  </si>
  <si>
    <t>DAP</t>
  </si>
  <si>
    <t>Red</t>
  </si>
  <si>
    <t>CID5</t>
  </si>
  <si>
    <t>West Bengal</t>
  </si>
  <si>
    <t>Kolkata</t>
  </si>
  <si>
    <t>Sugarcane</t>
  </si>
  <si>
    <t>Vermicompost</t>
  </si>
  <si>
    <t>CID6</t>
  </si>
  <si>
    <t>NPK</t>
  </si>
  <si>
    <t>CID7</t>
  </si>
  <si>
    <t>Mysore</t>
  </si>
  <si>
    <t>Laterite</t>
  </si>
  <si>
    <t>CID8</t>
  </si>
  <si>
    <t>Varanasi</t>
  </si>
  <si>
    <t>CID9</t>
  </si>
  <si>
    <t>Rice</t>
  </si>
  <si>
    <t>CID10</t>
  </si>
  <si>
    <t>CID11</t>
  </si>
  <si>
    <t>Bihar</t>
  </si>
  <si>
    <t>Patna</t>
  </si>
  <si>
    <t>Sandy</t>
  </si>
  <si>
    <t>CID12</t>
  </si>
  <si>
    <t>Gaya</t>
  </si>
  <si>
    <t>Wheat</t>
  </si>
  <si>
    <t>CID13</t>
  </si>
  <si>
    <t>CID14</t>
  </si>
  <si>
    <t>Darjeeling</t>
  </si>
  <si>
    <t>CID15</t>
  </si>
  <si>
    <t>Patiala</t>
  </si>
  <si>
    <t>Alluvial</t>
  </si>
  <si>
    <t>CID16</t>
  </si>
  <si>
    <t>Kanpur</t>
  </si>
  <si>
    <t>CID17</t>
  </si>
  <si>
    <t>CID18</t>
  </si>
  <si>
    <t>CID19</t>
  </si>
  <si>
    <t>CID20</t>
  </si>
  <si>
    <t>Hubli</t>
  </si>
  <si>
    <t>CID21</t>
  </si>
  <si>
    <t>CID22</t>
  </si>
  <si>
    <t>CID23</t>
  </si>
  <si>
    <t>CID24</t>
  </si>
  <si>
    <t>Nagpur</t>
  </si>
  <si>
    <t>CID25</t>
  </si>
  <si>
    <t>CID26</t>
  </si>
  <si>
    <t>CID27</t>
  </si>
  <si>
    <t>CID28</t>
  </si>
  <si>
    <t>Amritsar</t>
  </si>
  <si>
    <t>CID29</t>
  </si>
  <si>
    <t>CID30</t>
  </si>
  <si>
    <t>CID31</t>
  </si>
  <si>
    <t>CID32</t>
  </si>
  <si>
    <t>CID33</t>
  </si>
  <si>
    <t>Bhagalpur</t>
  </si>
  <si>
    <t>CID34</t>
  </si>
  <si>
    <t>CID35</t>
  </si>
  <si>
    <t>CID36</t>
  </si>
  <si>
    <t>CID37</t>
  </si>
  <si>
    <t>CID38</t>
  </si>
  <si>
    <t>Howrah</t>
  </si>
  <si>
    <t>CID39</t>
  </si>
  <si>
    <t>CID40</t>
  </si>
  <si>
    <t>CID41</t>
  </si>
  <si>
    <t>Haryana</t>
  </si>
  <si>
    <t>Gurgaon</t>
  </si>
  <si>
    <t>CID42</t>
  </si>
  <si>
    <t>CID43</t>
  </si>
  <si>
    <t>Faridabad</t>
  </si>
  <si>
    <t>CID44</t>
  </si>
  <si>
    <t>CID45</t>
  </si>
  <si>
    <t>CID46</t>
  </si>
  <si>
    <t>CID47</t>
  </si>
  <si>
    <t>CID48</t>
  </si>
  <si>
    <t>CID49</t>
  </si>
  <si>
    <t>CID50</t>
  </si>
  <si>
    <t>CID51</t>
  </si>
  <si>
    <t>CID52</t>
  </si>
  <si>
    <t>Mumbai</t>
  </si>
  <si>
    <t>CID53</t>
  </si>
  <si>
    <t>CID54</t>
  </si>
  <si>
    <t>CID55</t>
  </si>
  <si>
    <t>CID56</t>
  </si>
  <si>
    <t>CID57</t>
  </si>
  <si>
    <t>CID58</t>
  </si>
  <si>
    <t>CID59</t>
  </si>
  <si>
    <t>CID60</t>
  </si>
  <si>
    <t>CID61</t>
  </si>
  <si>
    <t>CID62</t>
  </si>
  <si>
    <t>CID63</t>
  </si>
  <si>
    <t>CID64</t>
  </si>
  <si>
    <t>CID65</t>
  </si>
  <si>
    <t>CID66</t>
  </si>
  <si>
    <t>CID67</t>
  </si>
  <si>
    <t>CID68</t>
  </si>
  <si>
    <t>CID69</t>
  </si>
  <si>
    <t>CID70</t>
  </si>
  <si>
    <t>CID71</t>
  </si>
  <si>
    <t>CID72</t>
  </si>
  <si>
    <t>CID73</t>
  </si>
  <si>
    <t>CID74</t>
  </si>
  <si>
    <t>CID75</t>
  </si>
  <si>
    <t>CID76</t>
  </si>
  <si>
    <t>CID77</t>
  </si>
  <si>
    <t>CID78</t>
  </si>
  <si>
    <t>CID79</t>
  </si>
  <si>
    <t>CID80</t>
  </si>
  <si>
    <t>CID81</t>
  </si>
  <si>
    <t>CID82</t>
  </si>
  <si>
    <t>CID83</t>
  </si>
  <si>
    <t>CID84</t>
  </si>
  <si>
    <t>CID85</t>
  </si>
  <si>
    <t>CID86</t>
  </si>
  <si>
    <t>CID87</t>
  </si>
  <si>
    <t>CID88</t>
  </si>
  <si>
    <t>CID89</t>
  </si>
  <si>
    <t>CID90</t>
  </si>
  <si>
    <t>CID91</t>
  </si>
  <si>
    <t>CID92</t>
  </si>
  <si>
    <t>CID93</t>
  </si>
  <si>
    <t>CID94</t>
  </si>
  <si>
    <t>CID95</t>
  </si>
  <si>
    <t>CID96</t>
  </si>
  <si>
    <t>CID97</t>
  </si>
  <si>
    <t>CID98</t>
  </si>
  <si>
    <t>CID99</t>
  </si>
  <si>
    <t>CID100</t>
  </si>
  <si>
    <t>CID101</t>
  </si>
  <si>
    <t>CID102</t>
  </si>
  <si>
    <t>CID103</t>
  </si>
  <si>
    <t>CID104</t>
  </si>
  <si>
    <t>CID105</t>
  </si>
  <si>
    <t>CID106</t>
  </si>
  <si>
    <t>CID107</t>
  </si>
  <si>
    <t>CID108</t>
  </si>
  <si>
    <t>CID109</t>
  </si>
  <si>
    <t>CID110</t>
  </si>
  <si>
    <t>CID111</t>
  </si>
  <si>
    <t>CID112</t>
  </si>
  <si>
    <t>CID113</t>
  </si>
  <si>
    <t>CID114</t>
  </si>
  <si>
    <t>CID115</t>
  </si>
  <si>
    <t>CID116</t>
  </si>
  <si>
    <t>CID117</t>
  </si>
  <si>
    <t>CID118</t>
  </si>
  <si>
    <t>CID119</t>
  </si>
  <si>
    <t>CID120</t>
  </si>
  <si>
    <t>CID121</t>
  </si>
  <si>
    <t>CID122</t>
  </si>
  <si>
    <t>CID123</t>
  </si>
  <si>
    <t>CID124</t>
  </si>
  <si>
    <t>CID125</t>
  </si>
  <si>
    <t>CID126</t>
  </si>
  <si>
    <t>CID127</t>
  </si>
  <si>
    <t>CID128</t>
  </si>
  <si>
    <t>CID129</t>
  </si>
  <si>
    <t>CID130</t>
  </si>
  <si>
    <t>CID131</t>
  </si>
  <si>
    <t>CID132</t>
  </si>
  <si>
    <t>CID133</t>
  </si>
  <si>
    <t>CID134</t>
  </si>
  <si>
    <t>CID135</t>
  </si>
  <si>
    <t>CID136</t>
  </si>
  <si>
    <t>CID137</t>
  </si>
  <si>
    <t>CID138</t>
  </si>
  <si>
    <t>CID139</t>
  </si>
  <si>
    <t>CID140</t>
  </si>
  <si>
    <t>CID141</t>
  </si>
  <si>
    <t>CID142</t>
  </si>
  <si>
    <t>CID143</t>
  </si>
  <si>
    <t>CID144</t>
  </si>
  <si>
    <t>CID145</t>
  </si>
  <si>
    <t>CID146</t>
  </si>
  <si>
    <t>CID147</t>
  </si>
  <si>
    <t>CID148</t>
  </si>
  <si>
    <t>CID149</t>
  </si>
  <si>
    <t>CID150</t>
  </si>
  <si>
    <t>CID151</t>
  </si>
  <si>
    <t>CID152</t>
  </si>
  <si>
    <t>CID153</t>
  </si>
  <si>
    <t>CID154</t>
  </si>
  <si>
    <t>CID155</t>
  </si>
  <si>
    <t>CID156</t>
  </si>
  <si>
    <t>CID157</t>
  </si>
  <si>
    <t>CID158</t>
  </si>
  <si>
    <t>CID159</t>
  </si>
  <si>
    <t>CID160</t>
  </si>
  <si>
    <t>CID161</t>
  </si>
  <si>
    <t>CID162</t>
  </si>
  <si>
    <t>Hisar</t>
  </si>
  <si>
    <t>CID163</t>
  </si>
  <si>
    <t>CID164</t>
  </si>
  <si>
    <t>CID165</t>
  </si>
  <si>
    <t>CID166</t>
  </si>
  <si>
    <t>CID167</t>
  </si>
  <si>
    <t>CID168</t>
  </si>
  <si>
    <t>CID169</t>
  </si>
  <si>
    <t>CID170</t>
  </si>
  <si>
    <t>CID171</t>
  </si>
  <si>
    <t>CID172</t>
  </si>
  <si>
    <t>CID173</t>
  </si>
  <si>
    <t>CID174</t>
  </si>
  <si>
    <t>CID175</t>
  </si>
  <si>
    <t>CID176</t>
  </si>
  <si>
    <t>CID177</t>
  </si>
  <si>
    <t>CID178</t>
  </si>
  <si>
    <t>CID179</t>
  </si>
  <si>
    <t>CID180</t>
  </si>
  <si>
    <t>CID181</t>
  </si>
  <si>
    <t>CID182</t>
  </si>
  <si>
    <t>CID183</t>
  </si>
  <si>
    <t>CID184</t>
  </si>
  <si>
    <t>CID185</t>
  </si>
  <si>
    <t>CID186</t>
  </si>
  <si>
    <t>CID187</t>
  </si>
  <si>
    <t>CID188</t>
  </si>
  <si>
    <t>CID189</t>
  </si>
  <si>
    <t>CID190</t>
  </si>
  <si>
    <t>CID191</t>
  </si>
  <si>
    <t>CID192</t>
  </si>
  <si>
    <t>CID193</t>
  </si>
  <si>
    <t>CID194</t>
  </si>
  <si>
    <t>CID195</t>
  </si>
  <si>
    <t>CID196</t>
  </si>
  <si>
    <t>CID197</t>
  </si>
  <si>
    <t>CID198</t>
  </si>
  <si>
    <t>CID199</t>
  </si>
  <si>
    <t>CID200</t>
  </si>
  <si>
    <t>CID201</t>
  </si>
  <si>
    <t>CID202</t>
  </si>
  <si>
    <t>CID203</t>
  </si>
  <si>
    <t>CID204</t>
  </si>
  <si>
    <t>CID205</t>
  </si>
  <si>
    <t>CID206</t>
  </si>
  <si>
    <t>CID207</t>
  </si>
  <si>
    <t>CID208</t>
  </si>
  <si>
    <t>CID209</t>
  </si>
  <si>
    <t>CID210</t>
  </si>
  <si>
    <t>CID211</t>
  </si>
  <si>
    <t>CID212</t>
  </si>
  <si>
    <t>CID213</t>
  </si>
  <si>
    <t>CID214</t>
  </si>
  <si>
    <t>CID215</t>
  </si>
  <si>
    <t>CID216</t>
  </si>
  <si>
    <t>CID217</t>
  </si>
  <si>
    <t>CID218</t>
  </si>
  <si>
    <t>CID219</t>
  </si>
  <si>
    <t>CID220</t>
  </si>
  <si>
    <t>CID221</t>
  </si>
  <si>
    <t>CID222</t>
  </si>
  <si>
    <t>CID223</t>
  </si>
  <si>
    <t>CID224</t>
  </si>
  <si>
    <t>CID225</t>
  </si>
  <si>
    <t>CID226</t>
  </si>
  <si>
    <t>CID227</t>
  </si>
  <si>
    <t>CID228</t>
  </si>
  <si>
    <t>CID229</t>
  </si>
  <si>
    <t>CID230</t>
  </si>
  <si>
    <t>CID231</t>
  </si>
  <si>
    <t>CID232</t>
  </si>
  <si>
    <t>CID233</t>
  </si>
  <si>
    <t>CID234</t>
  </si>
  <si>
    <t>CID235</t>
  </si>
  <si>
    <t>CID236</t>
  </si>
  <si>
    <t>CID237</t>
  </si>
  <si>
    <t>CID238</t>
  </si>
  <si>
    <t>CID239</t>
  </si>
  <si>
    <t>CID240</t>
  </si>
  <si>
    <t>CID241</t>
  </si>
  <si>
    <t>CID242</t>
  </si>
  <si>
    <t>CID243</t>
  </si>
  <si>
    <t>CID244</t>
  </si>
  <si>
    <t>CID245</t>
  </si>
  <si>
    <t>CID246</t>
  </si>
  <si>
    <t>CID247</t>
  </si>
  <si>
    <t>CID248</t>
  </si>
  <si>
    <t>CID249</t>
  </si>
  <si>
    <t>CID250</t>
  </si>
  <si>
    <t>CID251</t>
  </si>
  <si>
    <t>CID252</t>
  </si>
  <si>
    <t>CID253</t>
  </si>
  <si>
    <t>CID254</t>
  </si>
  <si>
    <t>CID255</t>
  </si>
  <si>
    <t>CID256</t>
  </si>
  <si>
    <t>CID257</t>
  </si>
  <si>
    <t>CID258</t>
  </si>
  <si>
    <t>CID259</t>
  </si>
  <si>
    <t>CID260</t>
  </si>
  <si>
    <t>CID261</t>
  </si>
  <si>
    <t>CID262</t>
  </si>
  <si>
    <t>CID263</t>
  </si>
  <si>
    <t>CID264</t>
  </si>
  <si>
    <t>CID265</t>
  </si>
  <si>
    <t>CID266</t>
  </si>
  <si>
    <t>CID267</t>
  </si>
  <si>
    <t>CID268</t>
  </si>
  <si>
    <t>CID269</t>
  </si>
  <si>
    <t>CID270</t>
  </si>
  <si>
    <t>CID271</t>
  </si>
  <si>
    <t>CID272</t>
  </si>
  <si>
    <t>CID273</t>
  </si>
  <si>
    <t>CID274</t>
  </si>
  <si>
    <t>CID275</t>
  </si>
  <si>
    <t>CID276</t>
  </si>
  <si>
    <t>CID277</t>
  </si>
  <si>
    <t>CID278</t>
  </si>
  <si>
    <t>CID279</t>
  </si>
  <si>
    <t>CID280</t>
  </si>
  <si>
    <t>CID281</t>
  </si>
  <si>
    <t>CID282</t>
  </si>
  <si>
    <t>CID283</t>
  </si>
  <si>
    <t>CID284</t>
  </si>
  <si>
    <t>CID285</t>
  </si>
  <si>
    <t>CID286</t>
  </si>
  <si>
    <t>CID287</t>
  </si>
  <si>
    <t>CID288</t>
  </si>
  <si>
    <t>CID289</t>
  </si>
  <si>
    <t>CID290</t>
  </si>
  <si>
    <t>CID291</t>
  </si>
  <si>
    <t>CID292</t>
  </si>
  <si>
    <t>CID293</t>
  </si>
  <si>
    <t>CID294</t>
  </si>
  <si>
    <t>CID295</t>
  </si>
  <si>
    <t>CID296</t>
  </si>
  <si>
    <t>CID297</t>
  </si>
  <si>
    <t>CID298</t>
  </si>
  <si>
    <t>CID299</t>
  </si>
  <si>
    <t>CID300</t>
  </si>
  <si>
    <t>CID301</t>
  </si>
  <si>
    <t>CID302</t>
  </si>
  <si>
    <t>CID303</t>
  </si>
  <si>
    <t>CID304</t>
  </si>
  <si>
    <t>CID305</t>
  </si>
  <si>
    <t>CID306</t>
  </si>
  <si>
    <t>CID307</t>
  </si>
  <si>
    <t>CID308</t>
  </si>
  <si>
    <t>CID309</t>
  </si>
  <si>
    <t>CID310</t>
  </si>
  <si>
    <t>CID311</t>
  </si>
  <si>
    <t>CID312</t>
  </si>
  <si>
    <t>CID313</t>
  </si>
  <si>
    <t>CID314</t>
  </si>
  <si>
    <t>CID315</t>
  </si>
  <si>
    <t>CID316</t>
  </si>
  <si>
    <t>CID317</t>
  </si>
  <si>
    <t>CID318</t>
  </si>
  <si>
    <t>CID319</t>
  </si>
  <si>
    <t>CID320</t>
  </si>
  <si>
    <t>CID321</t>
  </si>
  <si>
    <t>CID322</t>
  </si>
  <si>
    <t>CID323</t>
  </si>
  <si>
    <t>CID324</t>
  </si>
  <si>
    <t>CID325</t>
  </si>
  <si>
    <t>CID326</t>
  </si>
  <si>
    <t>CID327</t>
  </si>
  <si>
    <t>CID328</t>
  </si>
  <si>
    <t>CID329</t>
  </si>
  <si>
    <t>CID330</t>
  </si>
  <si>
    <t>CID331</t>
  </si>
  <si>
    <t>CID332</t>
  </si>
  <si>
    <t>CID333</t>
  </si>
  <si>
    <t>CID334</t>
  </si>
  <si>
    <t>CID335</t>
  </si>
  <si>
    <t>CID336</t>
  </si>
  <si>
    <t>CID337</t>
  </si>
  <si>
    <t>CID338</t>
  </si>
  <si>
    <t>CID339</t>
  </si>
  <si>
    <t>CID340</t>
  </si>
  <si>
    <t>CID341</t>
  </si>
  <si>
    <t>CID342</t>
  </si>
  <si>
    <t>CID343</t>
  </si>
  <si>
    <t>CID344</t>
  </si>
  <si>
    <t>CID345</t>
  </si>
  <si>
    <t>CID346</t>
  </si>
  <si>
    <t>CID347</t>
  </si>
  <si>
    <t>CID348</t>
  </si>
  <si>
    <t>CID349</t>
  </si>
  <si>
    <t>CID350</t>
  </si>
  <si>
    <t>CID351</t>
  </si>
  <si>
    <t>CID352</t>
  </si>
  <si>
    <t>CID353</t>
  </si>
  <si>
    <t>CID354</t>
  </si>
  <si>
    <t>CID355</t>
  </si>
  <si>
    <t>CID356</t>
  </si>
  <si>
    <t>CID357</t>
  </si>
  <si>
    <t>CID358</t>
  </si>
  <si>
    <t>CID359</t>
  </si>
  <si>
    <t>CID360</t>
  </si>
  <si>
    <t>CID361</t>
  </si>
  <si>
    <t>CID362</t>
  </si>
  <si>
    <t>CID363</t>
  </si>
  <si>
    <t>CID364</t>
  </si>
  <si>
    <t>CID365</t>
  </si>
  <si>
    <t>CID366</t>
  </si>
  <si>
    <t>CID367</t>
  </si>
  <si>
    <t>CID368</t>
  </si>
  <si>
    <t>CID369</t>
  </si>
  <si>
    <t>CID370</t>
  </si>
  <si>
    <t>CID371</t>
  </si>
  <si>
    <t>CID372</t>
  </si>
  <si>
    <t>CID373</t>
  </si>
  <si>
    <t>CID374</t>
  </si>
  <si>
    <t>CID375</t>
  </si>
  <si>
    <t>CID376</t>
  </si>
  <si>
    <t>CID377</t>
  </si>
  <si>
    <t>CID378</t>
  </si>
  <si>
    <t>CID379</t>
  </si>
  <si>
    <t>CID380</t>
  </si>
  <si>
    <t>CID381</t>
  </si>
  <si>
    <t>CID382</t>
  </si>
  <si>
    <t>CID383</t>
  </si>
  <si>
    <t>CID384</t>
  </si>
  <si>
    <t>CID385</t>
  </si>
  <si>
    <t>CID386</t>
  </si>
  <si>
    <t>CID387</t>
  </si>
  <si>
    <t>CID388</t>
  </si>
  <si>
    <t>CID389</t>
  </si>
  <si>
    <t>CID390</t>
  </si>
  <si>
    <t>CID391</t>
  </si>
  <si>
    <t>CID392</t>
  </si>
  <si>
    <t>CID393</t>
  </si>
  <si>
    <t>CID394</t>
  </si>
  <si>
    <t>CID395</t>
  </si>
  <si>
    <t>CID396</t>
  </si>
  <si>
    <t>CID397</t>
  </si>
  <si>
    <t>CID398</t>
  </si>
  <si>
    <t>CID399</t>
  </si>
  <si>
    <t>CID400</t>
  </si>
  <si>
    <t>CID401</t>
  </si>
  <si>
    <t>CID402</t>
  </si>
  <si>
    <t>CID403</t>
  </si>
  <si>
    <t>CID404</t>
  </si>
  <si>
    <t>CID405</t>
  </si>
  <si>
    <t>CID406</t>
  </si>
  <si>
    <t>CID407</t>
  </si>
  <si>
    <t>CID408</t>
  </si>
  <si>
    <t>CID409</t>
  </si>
  <si>
    <t>CID410</t>
  </si>
  <si>
    <t>CID411</t>
  </si>
  <si>
    <t>CID412</t>
  </si>
  <si>
    <t>CID413</t>
  </si>
  <si>
    <t>CID414</t>
  </si>
  <si>
    <t>CID415</t>
  </si>
  <si>
    <t>CID416</t>
  </si>
  <si>
    <t>CID417</t>
  </si>
  <si>
    <t>CID418</t>
  </si>
  <si>
    <t>CID419</t>
  </si>
  <si>
    <t>CID420</t>
  </si>
  <si>
    <t>CID421</t>
  </si>
  <si>
    <t>CID422</t>
  </si>
  <si>
    <t>CID423</t>
  </si>
  <si>
    <t>CID424</t>
  </si>
  <si>
    <t>CID425</t>
  </si>
  <si>
    <t>CID426</t>
  </si>
  <si>
    <t>CID427</t>
  </si>
  <si>
    <t>CID428</t>
  </si>
  <si>
    <t>CID429</t>
  </si>
  <si>
    <t>CID430</t>
  </si>
  <si>
    <t>CID431</t>
  </si>
  <si>
    <t>CID432</t>
  </si>
  <si>
    <t>CID433</t>
  </si>
  <si>
    <t>CID434</t>
  </si>
  <si>
    <t>CID435</t>
  </si>
  <si>
    <t>CID436</t>
  </si>
  <si>
    <t>CID437</t>
  </si>
  <si>
    <t>CID438</t>
  </si>
  <si>
    <t>CID439</t>
  </si>
  <si>
    <t>CID440</t>
  </si>
  <si>
    <t>CID441</t>
  </si>
  <si>
    <t>CID442</t>
  </si>
  <si>
    <t>CID443</t>
  </si>
  <si>
    <t>CID444</t>
  </si>
  <si>
    <t>CID445</t>
  </si>
  <si>
    <t>CID446</t>
  </si>
  <si>
    <t>CID447</t>
  </si>
  <si>
    <t>CID448</t>
  </si>
  <si>
    <t>CID449</t>
  </si>
  <si>
    <t>CID450</t>
  </si>
  <si>
    <t>CID451</t>
  </si>
  <si>
    <t>CID452</t>
  </si>
  <si>
    <t>CID453</t>
  </si>
  <si>
    <t>CID454</t>
  </si>
  <si>
    <t>CID455</t>
  </si>
  <si>
    <t>CID456</t>
  </si>
  <si>
    <t>CID457</t>
  </si>
  <si>
    <t>CID458</t>
  </si>
  <si>
    <t>CID459</t>
  </si>
  <si>
    <t>CID460</t>
  </si>
  <si>
    <t>CID461</t>
  </si>
  <si>
    <t>CID462</t>
  </si>
  <si>
    <t>CID463</t>
  </si>
  <si>
    <t>CID464</t>
  </si>
  <si>
    <t>CID465</t>
  </si>
  <si>
    <t>CID466</t>
  </si>
  <si>
    <t>CID467</t>
  </si>
  <si>
    <t>CID468</t>
  </si>
  <si>
    <t>CID469</t>
  </si>
  <si>
    <t>CID470</t>
  </si>
  <si>
    <t>CID471</t>
  </si>
  <si>
    <t>CID472</t>
  </si>
  <si>
    <t>CID473</t>
  </si>
  <si>
    <t>CID474</t>
  </si>
  <si>
    <t>CID475</t>
  </si>
  <si>
    <t>CID476</t>
  </si>
  <si>
    <t>CID477</t>
  </si>
  <si>
    <t>CID478</t>
  </si>
  <si>
    <t>CID479</t>
  </si>
  <si>
    <t>CID480</t>
  </si>
  <si>
    <t>CID481</t>
  </si>
  <si>
    <t>CID482</t>
  </si>
  <si>
    <t>CID483</t>
  </si>
  <si>
    <t>CID484</t>
  </si>
  <si>
    <t>CID485</t>
  </si>
  <si>
    <t>CID486</t>
  </si>
  <si>
    <t>CID487</t>
  </si>
  <si>
    <t>CID488</t>
  </si>
  <si>
    <t>CID489</t>
  </si>
  <si>
    <t>CID490</t>
  </si>
  <si>
    <t>CID491</t>
  </si>
  <si>
    <t>CID492</t>
  </si>
  <si>
    <t>CID493</t>
  </si>
  <si>
    <t>CID494</t>
  </si>
  <si>
    <t>CID495</t>
  </si>
  <si>
    <t>CID496</t>
  </si>
  <si>
    <t>CID497</t>
  </si>
  <si>
    <t>CID498</t>
  </si>
  <si>
    <t>CID499</t>
  </si>
  <si>
    <t>CID500</t>
  </si>
  <si>
    <t>wheaT</t>
  </si>
  <si>
    <t>Column1</t>
  </si>
  <si>
    <t>Row Labels</t>
  </si>
  <si>
    <t>Grand Total</t>
  </si>
  <si>
    <t>Year_MM</t>
  </si>
  <si>
    <t>Yield per Acre</t>
  </si>
  <si>
    <t>Productivity</t>
  </si>
  <si>
    <t>Efficiency metric</t>
  </si>
  <si>
    <t>Sum of Yield (Kg/Ha)</t>
  </si>
  <si>
    <t>Sum of Yield per Acre</t>
  </si>
  <si>
    <t>Sum of Rainfall (mm)</t>
  </si>
  <si>
    <t>Sum of Temperature (Celsius)</t>
  </si>
  <si>
    <t>Sum of Area (Hectares)</t>
  </si>
  <si>
    <t>Sum of Fertilizer Used (Kg)</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</si>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</sst>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5E00"/>
      <name val="Calibri"/>
      <family val="2"/>
      <scheme val="minor"/>
    </font>
    <font>
      <sz val="8"/>
      <color rgb="FFFFFFFF"/>
      <name val="Segoe UI Variable Text"/>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49"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Border="1"/>
    <xf numFmtId="0" fontId="0" fillId="0" borderId="19" xfId="0" applyBorder="1"/>
    <xf numFmtId="0" fontId="0" fillId="0" borderId="0" xfId="0" applyNumberFormat="1" applyBorder="1" applyAlignment="1">
      <alignment horizontal="left"/>
    </xf>
    <xf numFmtId="14" fontId="0" fillId="0" borderId="0" xfId="0" applyNumberFormat="1" applyBorder="1" applyAlignment="1">
      <alignment horizontal="left"/>
    </xf>
    <xf numFmtId="0" fontId="0" fillId="0" borderId="0" xfId="0" applyBorder="1" applyAlignment="1">
      <alignment horizontal="left"/>
    </xf>
    <xf numFmtId="0" fontId="0" fillId="0" borderId="0" xfId="0" applyNumberFormat="1" applyAlignment="1">
      <alignment horizontal="left"/>
    </xf>
    <xf numFmtId="0" fontId="18" fillId="0" borderId="0" xfId="0" applyFont="1" applyAlignment="1">
      <alignment horizontal="left"/>
    </xf>
    <xf numFmtId="0" fontId="0" fillId="0" borderId="13" xfId="0" applyBorder="1" applyAlignment="1">
      <alignment horizontal="left"/>
    </xf>
    <xf numFmtId="0" fontId="0" fillId="0" borderId="14" xfId="0" applyBorder="1" applyAlignment="1">
      <alignment horizontal="left"/>
    </xf>
    <xf numFmtId="49" fontId="0" fillId="0" borderId="14" xfId="0" applyNumberFormat="1" applyBorder="1" applyAlignment="1">
      <alignment horizontal="left"/>
    </xf>
    <xf numFmtId="0" fontId="0" fillId="0" borderId="15" xfId="0" applyBorder="1" applyAlignment="1">
      <alignment horizontal="left"/>
    </xf>
    <xf numFmtId="0" fontId="0" fillId="0" borderId="11" xfId="0" applyBorder="1" applyAlignment="1">
      <alignment horizontal="left"/>
    </xf>
    <xf numFmtId="14" fontId="0" fillId="0" borderId="10" xfId="0" applyNumberFormat="1" applyBorder="1" applyAlignment="1">
      <alignment horizontal="left"/>
    </xf>
    <xf numFmtId="0" fontId="0" fillId="0" borderId="10" xfId="0" applyBorder="1" applyAlignment="1">
      <alignment horizontal="left"/>
    </xf>
    <xf numFmtId="49" fontId="0" fillId="0" borderId="10" xfId="0" applyNumberFormat="1" applyBorder="1" applyAlignment="1">
      <alignment horizontal="left"/>
    </xf>
    <xf numFmtId="0" fontId="0" fillId="0" borderId="12" xfId="0" applyBorder="1" applyAlignment="1">
      <alignment horizontal="left"/>
    </xf>
    <xf numFmtId="0" fontId="0" fillId="0" borderId="16" xfId="0" applyBorder="1" applyAlignment="1">
      <alignment horizontal="left"/>
    </xf>
    <xf numFmtId="14" fontId="0" fillId="0" borderId="17" xfId="0" applyNumberFormat="1" applyBorder="1" applyAlignment="1">
      <alignment horizontal="left"/>
    </xf>
    <xf numFmtId="0" fontId="0" fillId="0" borderId="17" xfId="0" applyBorder="1" applyAlignment="1">
      <alignment horizontal="left"/>
    </xf>
    <xf numFmtId="49" fontId="0" fillId="0" borderId="17" xfId="0" applyNumberFormat="1" applyBorder="1" applyAlignment="1">
      <alignment horizontal="left"/>
    </xf>
    <xf numFmtId="0" fontId="0" fillId="0" borderId="18" xfId="0" applyBorder="1" applyAlignment="1">
      <alignment horizontal="left"/>
    </xf>
    <xf numFmtId="0" fontId="18" fillId="0" borderId="0" xfId="0" applyNumberFormat="1" applyFont="1" applyAlignment="1">
      <alignment horizontal="left"/>
    </xf>
    <xf numFmtId="0" fontId="18" fillId="0" borderId="0" xfId="0" pivotButton="1" applyFont="1" applyAlignment="1">
      <alignment horizontal="left"/>
    </xf>
    <xf numFmtId="0" fontId="18" fillId="0" borderId="0" xfId="0" applyFont="1" applyAlignment="1">
      <alignment horizontal="left" indent="1"/>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77">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font>
        <color rgb="FF005E0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color rgb="FF005E00"/>
      </font>
    </dxf>
    <dxf>
      <font>
        <color rgb="FF005E00"/>
      </font>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border diagonalUp="0" diagonalDown="0">
        <left style="thin">
          <color indexed="64"/>
        </left>
        <right style="thin">
          <color indexed="64"/>
        </right>
        <top/>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Total Yield across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6">
                <a:lumMod val="50000"/>
              </a:schemeClr>
            </a:solidFill>
            <a:ln>
              <a:solidFill>
                <a:schemeClr val="accent6">
                  <a:lumMod val="50000"/>
                </a:schemeClr>
              </a:solidFill>
            </a:ln>
            <a:effectLst/>
          </c:spPr>
          <c:invertIfNegative val="0"/>
          <c:cat>
            <c:strLit>
              <c:ptCount val="7"/>
              <c:pt idx="0">
                <c:v>Bihar</c:v>
              </c:pt>
              <c:pt idx="1">
                <c:v>Haryana</c:v>
              </c:pt>
              <c:pt idx="2">
                <c:v>Karnataka</c:v>
              </c:pt>
              <c:pt idx="3">
                <c:v>Maharashtra</c:v>
              </c:pt>
              <c:pt idx="4">
                <c:v>Punjab</c:v>
              </c:pt>
              <c:pt idx="5">
                <c:v>Uttar Pradesh</c:v>
              </c:pt>
              <c:pt idx="6">
                <c:v>West Bengal</c:v>
              </c:pt>
            </c:strLit>
          </c:cat>
          <c:val>
            <c:numLit>
              <c:formatCode>General</c:formatCode>
              <c:ptCount val="7"/>
              <c:pt idx="0">
                <c:v>305326.59999999998</c:v>
              </c:pt>
              <c:pt idx="1">
                <c:v>285242.09999999998</c:v>
              </c:pt>
              <c:pt idx="2">
                <c:v>243159.53</c:v>
              </c:pt>
              <c:pt idx="3">
                <c:v>312625.69</c:v>
              </c:pt>
              <c:pt idx="4">
                <c:v>273696.81</c:v>
              </c:pt>
              <c:pt idx="5">
                <c:v>286474.09000000003</c:v>
              </c:pt>
              <c:pt idx="6">
                <c:v>290829.08</c:v>
              </c:pt>
            </c:numLit>
          </c:val>
          <c:extLst>
            <c:ext xmlns:c16="http://schemas.microsoft.com/office/drawing/2014/chart" uri="{C3380CC4-5D6E-409C-BE32-E72D297353CC}">
              <c16:uniqueId val="{00000000-E241-409D-BB2D-D4862E393922}"/>
            </c:ext>
          </c:extLst>
        </c:ser>
        <c:dLbls>
          <c:showLegendKey val="0"/>
          <c:showVal val="0"/>
          <c:showCatName val="0"/>
          <c:showSerName val="0"/>
          <c:showPercent val="0"/>
          <c:showBubbleSize val="0"/>
        </c:dLbls>
        <c:gapWidth val="182"/>
        <c:axId val="3233936"/>
        <c:axId val="132768624"/>
      </c:barChart>
      <c:catAx>
        <c:axId val="323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68624"/>
        <c:crosses val="autoZero"/>
        <c:auto val="1"/>
        <c:lblAlgn val="ctr"/>
        <c:lblOffset val="100"/>
        <c:noMultiLvlLbl val="0"/>
      </c:catAx>
      <c:valAx>
        <c:axId val="132768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 state/district has highest vs lowest yield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6"/>
            </a:solidFill>
            <a:ln>
              <a:noFill/>
            </a:ln>
            <a:effectLst/>
          </c:spPr>
          <c:invertIfNegative val="0"/>
          <c:cat>
            <c:strLit>
              <c:ptCount val="21"/>
              <c:pt idx="0">
                <c:v>Amritsar Punjab</c:v>
              </c:pt>
              <c:pt idx="1">
                <c:v>Bangalore Karnataka</c:v>
              </c:pt>
              <c:pt idx="2">
                <c:v>Bhagalpur Bihar</c:v>
              </c:pt>
              <c:pt idx="3">
                <c:v>Darjeeling West Bengal</c:v>
              </c:pt>
              <c:pt idx="4">
                <c:v>Faridabad Haryana</c:v>
              </c:pt>
              <c:pt idx="5">
                <c:v>Gaya Bihar</c:v>
              </c:pt>
              <c:pt idx="6">
                <c:v>Gurgaon Haryana</c:v>
              </c:pt>
              <c:pt idx="7">
                <c:v>Hisar Haryana</c:v>
              </c:pt>
              <c:pt idx="8">
                <c:v>Howrah West Bengal</c:v>
              </c:pt>
              <c:pt idx="9">
                <c:v>Hubli Karnataka</c:v>
              </c:pt>
              <c:pt idx="10">
                <c:v>Kanpur Uttar Pradesh</c:v>
              </c:pt>
              <c:pt idx="11">
                <c:v>Kolkata West Bengal</c:v>
              </c:pt>
              <c:pt idx="12">
                <c:v>Lucknow Uttar Pradesh</c:v>
              </c:pt>
              <c:pt idx="13">
                <c:v>Ludhiana Punjab</c:v>
              </c:pt>
              <c:pt idx="14">
                <c:v>Mumbai Maharashtra</c:v>
              </c:pt>
              <c:pt idx="15">
                <c:v>Mysore Karnataka</c:v>
              </c:pt>
              <c:pt idx="16">
                <c:v>Nagpur Maharashtra</c:v>
              </c:pt>
              <c:pt idx="17">
                <c:v>Patiala Punjab</c:v>
              </c:pt>
              <c:pt idx="18">
                <c:v>Patna Bihar</c:v>
              </c:pt>
              <c:pt idx="19">
                <c:v>Pune Maharashtra</c:v>
              </c:pt>
              <c:pt idx="20">
                <c:v>Varanasi Uttar Pradesh</c:v>
              </c:pt>
            </c:strLit>
          </c:cat>
          <c:val>
            <c:numLit>
              <c:formatCode>General</c:formatCode>
              <c:ptCount val="21"/>
              <c:pt idx="0">
                <c:v>106697.24</c:v>
              </c:pt>
              <c:pt idx="1">
                <c:v>100394.86</c:v>
              </c:pt>
              <c:pt idx="2">
                <c:v>83397.06</c:v>
              </c:pt>
              <c:pt idx="3">
                <c:v>82598.38</c:v>
              </c:pt>
              <c:pt idx="4">
                <c:v>85810.32</c:v>
              </c:pt>
              <c:pt idx="5">
                <c:v>116930.64</c:v>
              </c:pt>
              <c:pt idx="6">
                <c:v>121518.51</c:v>
              </c:pt>
              <c:pt idx="7">
                <c:v>77913.27</c:v>
              </c:pt>
              <c:pt idx="8">
                <c:v>66756.97</c:v>
              </c:pt>
              <c:pt idx="9">
                <c:v>98619.38</c:v>
              </c:pt>
              <c:pt idx="10">
                <c:v>120359.21</c:v>
              </c:pt>
              <c:pt idx="11">
                <c:v>141473.73000000001</c:v>
              </c:pt>
              <c:pt idx="12">
                <c:v>58400.87</c:v>
              </c:pt>
              <c:pt idx="13">
                <c:v>77010.33</c:v>
              </c:pt>
              <c:pt idx="14">
                <c:v>77001.36</c:v>
              </c:pt>
              <c:pt idx="15">
                <c:v>44145.29</c:v>
              </c:pt>
              <c:pt idx="16">
                <c:v>101168.16</c:v>
              </c:pt>
              <c:pt idx="17">
                <c:v>89989.24</c:v>
              </c:pt>
              <c:pt idx="18">
                <c:v>104998.9</c:v>
              </c:pt>
              <c:pt idx="19">
                <c:v>134456.17000000001</c:v>
              </c:pt>
              <c:pt idx="20">
                <c:v>107714.01</c:v>
              </c:pt>
            </c:numLit>
          </c:val>
          <c:extLst>
            <c:ext xmlns:c16="http://schemas.microsoft.com/office/drawing/2014/chart" uri="{C3380CC4-5D6E-409C-BE32-E72D297353CC}">
              <c16:uniqueId val="{00000000-512C-4E49-8970-F4F975E3979F}"/>
            </c:ext>
          </c:extLst>
        </c:ser>
        <c:dLbls>
          <c:showLegendKey val="0"/>
          <c:showVal val="0"/>
          <c:showCatName val="0"/>
          <c:showSerName val="0"/>
          <c:showPercent val="0"/>
          <c:showBubbleSize val="0"/>
        </c:dLbls>
        <c:gapWidth val="219"/>
        <c:overlap val="-27"/>
        <c:axId val="97796512"/>
        <c:axId val="132750864"/>
      </c:barChart>
      <c:catAx>
        <c:axId val="9779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50864"/>
        <c:crosses val="autoZero"/>
        <c:auto val="1"/>
        <c:lblAlgn val="ctr"/>
        <c:lblOffset val="100"/>
        <c:noMultiLvlLbl val="0"/>
      </c:catAx>
      <c:valAx>
        <c:axId val="132750864"/>
        <c:scaling>
          <c:orientation val="minMax"/>
        </c:scaling>
        <c:delete val="0"/>
        <c:axPos val="l"/>
        <c:majorGridlines>
          <c:spPr>
            <a:ln w="9525" cap="flat" cmpd="sng" algn="ctr">
              <a:solidFill>
                <a:schemeClr val="accent6">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9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 project.xlsx]Pivottable_1!Seasonal Yield </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Monthly or Seasonal Yield Trends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Pivottable_1!$C$3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Pt>
            <c:idx val="2"/>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dPt>
          <c:cat>
            <c:strRef>
              <c:f>Pivottable_1!$B$4:$B$7</c:f>
              <c:strCache>
                <c:ptCount val="3"/>
                <c:pt idx="0">
                  <c:v>Kharif</c:v>
                </c:pt>
                <c:pt idx="1">
                  <c:v>Rabi</c:v>
                </c:pt>
                <c:pt idx="2">
                  <c:v>Zaid</c:v>
                </c:pt>
              </c:strCache>
            </c:strRef>
          </c:cat>
          <c:val>
            <c:numRef>
              <c:f>Pivottable_1!$C$4:$C$7</c:f>
              <c:numCache>
                <c:formatCode>General</c:formatCode>
                <c:ptCount val="3"/>
                <c:pt idx="0">
                  <c:v>624068.9</c:v>
                </c:pt>
                <c:pt idx="1">
                  <c:v>724643.42</c:v>
                </c:pt>
                <c:pt idx="2">
                  <c:v>648641.57999999996</c:v>
                </c:pt>
              </c:numCache>
            </c:numRef>
          </c:val>
          <c:smooth val="0"/>
          <c:extLst>
            <c:ext xmlns:c16="http://schemas.microsoft.com/office/drawing/2014/chart" uri="{C3380CC4-5D6E-409C-BE32-E72D297353CC}">
              <c16:uniqueId val="{00000002-25B9-49F5-BF18-747F4EF0824D}"/>
            </c:ext>
          </c:extLst>
        </c:ser>
        <c:dLbls>
          <c:showLegendKey val="0"/>
          <c:showVal val="0"/>
          <c:showCatName val="0"/>
          <c:showSerName val="0"/>
          <c:showPercent val="0"/>
          <c:showBubbleSize val="0"/>
        </c:dLbls>
        <c:marker val="1"/>
        <c:smooth val="0"/>
        <c:axId val="97911120"/>
        <c:axId val="132666864"/>
      </c:lineChart>
      <c:catAx>
        <c:axId val="97911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66864"/>
        <c:crosses val="autoZero"/>
        <c:auto val="1"/>
        <c:lblAlgn val="ctr"/>
        <c:lblOffset val="100"/>
        <c:noMultiLvlLbl val="0"/>
      </c:catAx>
      <c:valAx>
        <c:axId val="13266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 project.xlsx]Pivottable_1!Crop-wise Yield </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Crop-wise Yield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51604035277577"/>
          <c:y val="0.23565452755905508"/>
          <c:w val="0.57749501506396728"/>
          <c:h val="0.64114126359205104"/>
        </c:manualLayout>
      </c:layout>
      <c:barChart>
        <c:barDir val="bar"/>
        <c:grouping val="clustered"/>
        <c:varyColors val="0"/>
        <c:ser>
          <c:idx val="0"/>
          <c:order val="0"/>
          <c:tx>
            <c:strRef>
              <c:f>Pivottable_1!$C$10</c:f>
              <c:strCache>
                <c:ptCount val="1"/>
                <c:pt idx="0">
                  <c:v>Total</c:v>
                </c:pt>
              </c:strCache>
            </c:strRef>
          </c:tx>
          <c:spPr>
            <a:solidFill>
              <a:schemeClr val="accent6">
                <a:lumMod val="50000"/>
              </a:schemeClr>
            </a:solidFill>
            <a:ln>
              <a:noFill/>
            </a:ln>
            <a:effectLst/>
          </c:spPr>
          <c:invertIfNegative val="0"/>
          <c:cat>
            <c:multiLvlStrRef>
              <c:f>Pivottable_1!$B$11:$B$32</c:f>
              <c:multiLvlStrCache>
                <c:ptCount val="18"/>
                <c:lvl>
                  <c:pt idx="0">
                    <c:v>Cotton</c:v>
                  </c:pt>
                  <c:pt idx="1">
                    <c:v>Maize</c:v>
                  </c:pt>
                  <c:pt idx="2">
                    <c:v>Pulses</c:v>
                  </c:pt>
                  <c:pt idx="3">
                    <c:v>Rice</c:v>
                  </c:pt>
                  <c:pt idx="4">
                    <c:v>Sugarcane</c:v>
                  </c:pt>
                  <c:pt idx="5">
                    <c:v>Wheat</c:v>
                  </c:pt>
                  <c:pt idx="6">
                    <c:v>Cotton</c:v>
                  </c:pt>
                  <c:pt idx="7">
                    <c:v>Maize</c:v>
                  </c:pt>
                  <c:pt idx="8">
                    <c:v>Pulses</c:v>
                  </c:pt>
                  <c:pt idx="9">
                    <c:v>Rice</c:v>
                  </c:pt>
                  <c:pt idx="10">
                    <c:v>Sugarcane</c:v>
                  </c:pt>
                  <c:pt idx="11">
                    <c:v>Wheat</c:v>
                  </c:pt>
                  <c:pt idx="12">
                    <c:v>Cotton</c:v>
                  </c:pt>
                  <c:pt idx="13">
                    <c:v>Maize</c:v>
                  </c:pt>
                  <c:pt idx="14">
                    <c:v>Pulses</c:v>
                  </c:pt>
                  <c:pt idx="15">
                    <c:v>Rice</c:v>
                  </c:pt>
                  <c:pt idx="16">
                    <c:v>Sugarcane</c:v>
                  </c:pt>
                  <c:pt idx="17">
                    <c:v>Wheat</c:v>
                  </c:pt>
                </c:lvl>
                <c:lvl>
                  <c:pt idx="0">
                    <c:v>Kharif</c:v>
                  </c:pt>
                  <c:pt idx="6">
                    <c:v>Rabi</c:v>
                  </c:pt>
                  <c:pt idx="12">
                    <c:v>Zaid</c:v>
                  </c:pt>
                </c:lvl>
              </c:multiLvlStrCache>
            </c:multiLvlStrRef>
          </c:cat>
          <c:val>
            <c:numRef>
              <c:f>Pivottable_1!$C$11:$C$32</c:f>
              <c:numCache>
                <c:formatCode>General</c:formatCode>
                <c:ptCount val="18"/>
                <c:pt idx="0">
                  <c:v>113856.05</c:v>
                </c:pt>
                <c:pt idx="1">
                  <c:v>94248.31</c:v>
                </c:pt>
                <c:pt idx="2">
                  <c:v>81919.399999999994</c:v>
                </c:pt>
                <c:pt idx="3">
                  <c:v>69590.8</c:v>
                </c:pt>
                <c:pt idx="4">
                  <c:v>124862.86</c:v>
                </c:pt>
                <c:pt idx="5">
                  <c:v>139591.48000000001</c:v>
                </c:pt>
                <c:pt idx="6">
                  <c:v>131081.70000000001</c:v>
                </c:pt>
                <c:pt idx="7">
                  <c:v>87616.23</c:v>
                </c:pt>
                <c:pt idx="8">
                  <c:v>152302.39999999999</c:v>
                </c:pt>
                <c:pt idx="9">
                  <c:v>89193.97</c:v>
                </c:pt>
                <c:pt idx="10">
                  <c:v>144035.91</c:v>
                </c:pt>
                <c:pt idx="11">
                  <c:v>120413.21</c:v>
                </c:pt>
                <c:pt idx="12">
                  <c:v>107504.2</c:v>
                </c:pt>
                <c:pt idx="13">
                  <c:v>110615.6</c:v>
                </c:pt>
                <c:pt idx="14">
                  <c:v>117572</c:v>
                </c:pt>
                <c:pt idx="15">
                  <c:v>127922.96</c:v>
                </c:pt>
                <c:pt idx="16">
                  <c:v>100859.48</c:v>
                </c:pt>
                <c:pt idx="17">
                  <c:v>84167.34</c:v>
                </c:pt>
              </c:numCache>
            </c:numRef>
          </c:val>
          <c:extLst>
            <c:ext xmlns:c16="http://schemas.microsoft.com/office/drawing/2014/chart" uri="{C3380CC4-5D6E-409C-BE32-E72D297353CC}">
              <c16:uniqueId val="{00000006-E365-474F-A45B-2C2DB3CBB430}"/>
            </c:ext>
          </c:extLst>
        </c:ser>
        <c:dLbls>
          <c:showLegendKey val="0"/>
          <c:showVal val="0"/>
          <c:showCatName val="0"/>
          <c:showSerName val="0"/>
          <c:showPercent val="0"/>
          <c:showBubbleSize val="0"/>
        </c:dLbls>
        <c:gapWidth val="182"/>
        <c:axId val="365321664"/>
        <c:axId val="132859344"/>
      </c:barChart>
      <c:catAx>
        <c:axId val="36532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9344"/>
        <c:crosses val="autoZero"/>
        <c:auto val="1"/>
        <c:lblAlgn val="ctr"/>
        <c:lblOffset val="100"/>
        <c:noMultiLvlLbl val="0"/>
      </c:catAx>
      <c:valAx>
        <c:axId val="132859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32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 project.xlsx]Pivottable_1!croptype</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Yield per Acre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Pivottable_1!$G$6</c:f>
              <c:strCache>
                <c:ptCount val="1"/>
                <c:pt idx="0">
                  <c:v>Total</c:v>
                </c:pt>
              </c:strCache>
            </c:strRef>
          </c:tx>
          <c:spPr>
            <a:solidFill>
              <a:schemeClr val="accent6">
                <a:lumMod val="50000"/>
              </a:schemeClr>
            </a:solidFill>
            <a:ln>
              <a:noFill/>
            </a:ln>
            <a:effectLst/>
          </c:spPr>
          <c:invertIfNegative val="0"/>
          <c:cat>
            <c:strRef>
              <c:f>Pivottable_1!$F$7:$F$13</c:f>
              <c:strCache>
                <c:ptCount val="6"/>
                <c:pt idx="0">
                  <c:v>Cotton</c:v>
                </c:pt>
                <c:pt idx="1">
                  <c:v>Maize</c:v>
                </c:pt>
                <c:pt idx="2">
                  <c:v>Pulses</c:v>
                </c:pt>
                <c:pt idx="3">
                  <c:v>Rice</c:v>
                </c:pt>
                <c:pt idx="4">
                  <c:v>Sugarcane</c:v>
                </c:pt>
                <c:pt idx="5">
                  <c:v>Wheat</c:v>
                </c:pt>
              </c:strCache>
            </c:strRef>
          </c:cat>
          <c:val>
            <c:numRef>
              <c:f>Pivottable_1!$G$7:$G$13</c:f>
              <c:numCache>
                <c:formatCode>General</c:formatCode>
                <c:ptCount val="6"/>
                <c:pt idx="0">
                  <c:v>12410.430529883333</c:v>
                </c:pt>
                <c:pt idx="1">
                  <c:v>14782.212224149034</c:v>
                </c:pt>
                <c:pt idx="2">
                  <c:v>24487.568561162858</c:v>
                </c:pt>
                <c:pt idx="3">
                  <c:v>13994.177913401432</c:v>
                </c:pt>
                <c:pt idx="4">
                  <c:v>19039.256037288986</c:v>
                </c:pt>
                <c:pt idx="5">
                  <c:v>14949.230244292326</c:v>
                </c:pt>
              </c:numCache>
            </c:numRef>
          </c:val>
          <c:extLst>
            <c:ext xmlns:c16="http://schemas.microsoft.com/office/drawing/2014/chart" uri="{C3380CC4-5D6E-409C-BE32-E72D297353CC}">
              <c16:uniqueId val="{00000001-4CF7-497A-8902-3C37080E9E35}"/>
            </c:ext>
          </c:extLst>
        </c:ser>
        <c:dLbls>
          <c:showLegendKey val="0"/>
          <c:showVal val="0"/>
          <c:showCatName val="0"/>
          <c:showSerName val="0"/>
          <c:showPercent val="0"/>
          <c:showBubbleSize val="0"/>
        </c:dLbls>
        <c:gapWidth val="219"/>
        <c:overlap val="-27"/>
        <c:axId val="97910656"/>
        <c:axId val="132758064"/>
      </c:barChart>
      <c:catAx>
        <c:axId val="9791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58064"/>
        <c:crosses val="autoZero"/>
        <c:auto val="1"/>
        <c:lblAlgn val="ctr"/>
        <c:lblOffset val="100"/>
        <c:noMultiLvlLbl val="0"/>
      </c:catAx>
      <c:valAx>
        <c:axId val="13275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Fertilizer Use vs Yield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6">
                <a:lumMod val="50000"/>
              </a:schemeClr>
            </a:solidFill>
            <a:ln>
              <a:noFill/>
            </a:ln>
            <a:effectLst/>
          </c:spPr>
          <c:invertIfNegative val="0"/>
          <c:cat>
            <c:strLit>
              <c:ptCount val="5"/>
              <c:pt idx="0">
                <c:v>Compost</c:v>
              </c:pt>
              <c:pt idx="1">
                <c:v>DAP</c:v>
              </c:pt>
              <c:pt idx="2">
                <c:v>NPK</c:v>
              </c:pt>
              <c:pt idx="3">
                <c:v>Urea</c:v>
              </c:pt>
              <c:pt idx="4">
                <c:v>Vermicompost</c:v>
              </c:pt>
            </c:strLit>
          </c:cat>
          <c:val>
            <c:numLit>
              <c:formatCode>General</c:formatCode>
              <c:ptCount val="5"/>
              <c:pt idx="0">
                <c:v>21242.749328827464</c:v>
              </c:pt>
              <c:pt idx="1">
                <c:v>17173.073825648706</c:v>
              </c:pt>
              <c:pt idx="2">
                <c:v>17350.932927582035</c:v>
              </c:pt>
              <c:pt idx="3">
                <c:v>24721.725058558452</c:v>
              </c:pt>
              <c:pt idx="4">
                <c:v>19174.394369561312</c:v>
              </c:pt>
            </c:numLit>
          </c:val>
          <c:extLst>
            <c:ext xmlns:c16="http://schemas.microsoft.com/office/drawing/2014/chart" uri="{C3380CC4-5D6E-409C-BE32-E72D297353CC}">
              <c16:uniqueId val="{00000000-E3DC-47EE-BF08-275FFBC768D5}"/>
            </c:ext>
          </c:extLst>
        </c:ser>
        <c:dLbls>
          <c:showLegendKey val="0"/>
          <c:showVal val="0"/>
          <c:showCatName val="0"/>
          <c:showSerName val="0"/>
          <c:showPercent val="0"/>
          <c:showBubbleSize val="0"/>
        </c:dLbls>
        <c:gapWidth val="219"/>
        <c:overlap val="-27"/>
        <c:axId val="97893488"/>
        <c:axId val="399095408"/>
      </c:barChart>
      <c:catAx>
        <c:axId val="9789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095408"/>
        <c:crosses val="autoZero"/>
        <c:auto val="1"/>
        <c:lblAlgn val="ctr"/>
        <c:lblOffset val="100"/>
        <c:noMultiLvlLbl val="0"/>
      </c:catAx>
      <c:valAx>
        <c:axId val="39909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9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Rainfall vs Yield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strRef>
              <c:f>#REF!</c:f>
            </c:strRef>
          </c:xVal>
          <c:yVal>
            <c:numRef>
              <c:f>#REF!</c:f>
              <c:numCache>
                <c:formatCode>General</c:formatCode>
                <c:ptCount val="1"/>
                <c:pt idx="0">
                  <c:v>1</c:v>
                </c:pt>
              </c:numCache>
            </c:numRef>
          </c:yVal>
          <c:smooth val="0"/>
          <c:extLst>
            <c:ext xmlns:c16="http://schemas.microsoft.com/office/drawing/2014/chart" uri="{C3380CC4-5D6E-409C-BE32-E72D297353CC}">
              <c16:uniqueId val="{00000000-745C-454B-9BE2-14DE3C9C31DC}"/>
            </c:ext>
          </c:extLst>
        </c:ser>
        <c:dLbls>
          <c:showLegendKey val="0"/>
          <c:showVal val="0"/>
          <c:showCatName val="0"/>
          <c:showSerName val="0"/>
          <c:showPercent val="0"/>
          <c:showBubbleSize val="0"/>
        </c:dLbls>
        <c:axId val="670375616"/>
        <c:axId val="399166448"/>
      </c:scatterChart>
      <c:valAx>
        <c:axId val="67037561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166448"/>
        <c:crosses val="autoZero"/>
        <c:crossBetween val="midCat"/>
      </c:valAx>
      <c:valAx>
        <c:axId val="39916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75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District, Fertilizer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lumMod val="50000"/>
              </a:schemeClr>
            </a:solidFill>
            <a:ln>
              <a:noFill/>
            </a:ln>
            <a:effectLst/>
          </c:spPr>
          <c:invertIfNegative val="0"/>
          <c:cat>
            <c:strLit>
              <c:ptCount val="21"/>
              <c:pt idx="0">
                <c:v>Amritsar</c:v>
              </c:pt>
              <c:pt idx="1">
                <c:v>Bangalore</c:v>
              </c:pt>
              <c:pt idx="2">
                <c:v>Bhagalpur</c:v>
              </c:pt>
              <c:pt idx="3">
                <c:v>Darjeeling</c:v>
              </c:pt>
              <c:pt idx="4">
                <c:v>Faridabad</c:v>
              </c:pt>
              <c:pt idx="5">
                <c:v>Gaya</c:v>
              </c:pt>
              <c:pt idx="6">
                <c:v>Gurgaon</c:v>
              </c:pt>
              <c:pt idx="7">
                <c:v>Hisar</c:v>
              </c:pt>
              <c:pt idx="8">
                <c:v>Howrah</c:v>
              </c:pt>
              <c:pt idx="9">
                <c:v>Hubli</c:v>
              </c:pt>
              <c:pt idx="10">
                <c:v>Kanpur</c:v>
              </c:pt>
              <c:pt idx="11">
                <c:v>Kolkata</c:v>
              </c:pt>
              <c:pt idx="12">
                <c:v>Lucknow</c:v>
              </c:pt>
              <c:pt idx="13">
                <c:v>Ludhiana</c:v>
              </c:pt>
              <c:pt idx="14">
                <c:v>Mumbai</c:v>
              </c:pt>
              <c:pt idx="15">
                <c:v>Mysore</c:v>
              </c:pt>
              <c:pt idx="16">
                <c:v>Nagpur</c:v>
              </c:pt>
              <c:pt idx="17">
                <c:v>Patiala</c:v>
              </c:pt>
              <c:pt idx="18">
                <c:v>Patna</c:v>
              </c:pt>
              <c:pt idx="19">
                <c:v>Pune</c:v>
              </c:pt>
              <c:pt idx="20">
                <c:v>Varanasi</c:v>
              </c:pt>
            </c:strLit>
          </c:cat>
          <c:val>
            <c:numLit>
              <c:formatCode>General</c:formatCode>
              <c:ptCount val="21"/>
              <c:pt idx="0">
                <c:v>4975.8</c:v>
              </c:pt>
              <c:pt idx="1">
                <c:v>3591.54</c:v>
              </c:pt>
              <c:pt idx="2">
                <c:v>4245.58</c:v>
              </c:pt>
              <c:pt idx="3">
                <c:v>3826.97</c:v>
              </c:pt>
              <c:pt idx="4">
                <c:v>3312.35</c:v>
              </c:pt>
              <c:pt idx="5">
                <c:v>4775.49</c:v>
              </c:pt>
              <c:pt idx="6">
                <c:v>4763.9799999999996</c:v>
              </c:pt>
              <c:pt idx="7">
                <c:v>4391.1099999999997</c:v>
              </c:pt>
              <c:pt idx="8">
                <c:v>2545.12</c:v>
              </c:pt>
              <c:pt idx="9">
                <c:v>3833.13</c:v>
              </c:pt>
              <c:pt idx="10">
                <c:v>5193.66</c:v>
              </c:pt>
              <c:pt idx="11">
                <c:v>6380.5</c:v>
              </c:pt>
              <c:pt idx="12">
                <c:v>2979.48</c:v>
              </c:pt>
              <c:pt idx="13">
                <c:v>3347.48</c:v>
              </c:pt>
              <c:pt idx="14">
                <c:v>3787.2</c:v>
              </c:pt>
              <c:pt idx="15">
                <c:v>2207.86</c:v>
              </c:pt>
              <c:pt idx="16">
                <c:v>4714.74</c:v>
              </c:pt>
              <c:pt idx="17">
                <c:v>3869.15</c:v>
              </c:pt>
              <c:pt idx="18">
                <c:v>4042.79</c:v>
              </c:pt>
              <c:pt idx="19">
                <c:v>5419.21</c:v>
              </c:pt>
              <c:pt idx="20">
                <c:v>4506.97</c:v>
              </c:pt>
            </c:numLit>
          </c:val>
          <c:extLst>
            <c:ext xmlns:c16="http://schemas.microsoft.com/office/drawing/2014/chart" uri="{C3380CC4-5D6E-409C-BE32-E72D297353CC}">
              <c16:uniqueId val="{00000000-A7F7-4B88-A98D-0A83ABF986B8}"/>
            </c:ext>
          </c:extLst>
        </c:ser>
        <c:dLbls>
          <c:showLegendKey val="0"/>
          <c:showVal val="0"/>
          <c:showCatName val="0"/>
          <c:showSerName val="0"/>
          <c:showPercent val="0"/>
          <c:showBubbleSize val="0"/>
        </c:dLbls>
        <c:gapWidth val="182"/>
        <c:axId val="670531984"/>
        <c:axId val="399171728"/>
      </c:barChart>
      <c:catAx>
        <c:axId val="67053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171728"/>
        <c:crosses val="autoZero"/>
        <c:auto val="1"/>
        <c:lblAlgn val="ctr"/>
        <c:lblOffset val="100"/>
        <c:noMultiLvlLbl val="0"/>
      </c:catAx>
      <c:valAx>
        <c:axId val="39917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31984"/>
        <c:crosses val="autoZero"/>
        <c:crossBetween val="between"/>
      </c:val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 Irrigation Coverage</a:t>
            </a:r>
            <a:endParaRPr lang="en-US"/>
          </a:p>
        </c:rich>
      </c:tx>
      <c:layout>
        <c:manualLayout>
          <c:xMode val="edge"/>
          <c:yMode val="edge"/>
          <c:x val="0.27615368245289507"/>
          <c:y val="3.7301462317210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6">
                <a:lumMod val="50000"/>
              </a:schemeClr>
            </a:solidFill>
            <a:ln>
              <a:noFill/>
            </a:ln>
            <a:effectLst/>
          </c:spPr>
          <c:invertIfNegative val="0"/>
          <c:cat>
            <c:strLit>
              <c:ptCount val="4"/>
              <c:pt idx="0">
                <c:v>Borewell</c:v>
              </c:pt>
              <c:pt idx="1">
                <c:v>Canal</c:v>
              </c:pt>
              <c:pt idx="2">
                <c:v>Drip</c:v>
              </c:pt>
              <c:pt idx="3">
                <c:v>Rainfed</c:v>
              </c:pt>
            </c:strLit>
          </c:cat>
          <c:val>
            <c:numLit>
              <c:formatCode>General</c:formatCode>
              <c:ptCount val="4"/>
              <c:pt idx="0">
                <c:v>5445.61</c:v>
              </c:pt>
              <c:pt idx="1">
                <c:v>5846.61</c:v>
              </c:pt>
              <c:pt idx="2">
                <c:v>6974.4</c:v>
              </c:pt>
              <c:pt idx="3">
                <c:v>6580.61</c:v>
              </c:pt>
            </c:numLit>
          </c:val>
          <c:extLst>
            <c:ext xmlns:c16="http://schemas.microsoft.com/office/drawing/2014/chart" uri="{C3380CC4-5D6E-409C-BE32-E72D297353CC}">
              <c16:uniqueId val="{00000000-3FDB-4C50-A142-E3DDA9A4FE7F}"/>
            </c:ext>
          </c:extLst>
        </c:ser>
        <c:dLbls>
          <c:showLegendKey val="0"/>
          <c:showVal val="0"/>
          <c:showCatName val="0"/>
          <c:showSerName val="0"/>
          <c:showPercent val="0"/>
          <c:showBubbleSize val="0"/>
        </c:dLbls>
        <c:gapWidth val="150"/>
        <c:overlap val="100"/>
        <c:axId val="336803264"/>
        <c:axId val="399086288"/>
      </c:barChart>
      <c:catAx>
        <c:axId val="33680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086288"/>
        <c:crosses val="autoZero"/>
        <c:auto val="1"/>
        <c:lblAlgn val="ctr"/>
        <c:lblOffset val="100"/>
        <c:noMultiLvlLbl val="0"/>
      </c:catAx>
      <c:valAx>
        <c:axId val="399086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80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Yield by Category</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00000000-512C-4A77-A22E-ACE98AD3704B}">
          <cx:tx>
            <cx:txData>
              <cx:f>_xlchart.v1.1</cx:f>
              <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17930</xdr:colOff>
      <xdr:row>0</xdr:row>
      <xdr:rowOff>76200</xdr:rowOff>
    </xdr:from>
    <xdr:to>
      <xdr:col>8</xdr:col>
      <xdr:colOff>289561</xdr:colOff>
      <xdr:row>4</xdr:row>
      <xdr:rowOff>160020</xdr:rowOff>
    </xdr:to>
    <xdr:sp macro="" textlink="">
      <xdr:nvSpPr>
        <xdr:cNvPr id="7" name="TextBox 6">
          <a:extLst>
            <a:ext uri="{FF2B5EF4-FFF2-40B4-BE49-F238E27FC236}">
              <a16:creationId xmlns:a16="http://schemas.microsoft.com/office/drawing/2014/main" id="{3C30F7ED-6472-C046-4274-68CD56E7C9F7}"/>
            </a:ext>
          </a:extLst>
        </xdr:cNvPr>
        <xdr:cNvSpPr txBox="1"/>
      </xdr:nvSpPr>
      <xdr:spPr>
        <a:xfrm>
          <a:off x="2895601" y="76200"/>
          <a:ext cx="5982148" cy="800996"/>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r>
            <a:rPr lang="en-IN" sz="2400" b="1" i="1" u="none" strike="noStrike">
              <a:solidFill>
                <a:schemeClr val="accent6">
                  <a:lumMod val="50000"/>
                </a:schemeClr>
              </a:solidFill>
              <a:effectLst/>
              <a:latin typeface="+mn-lt"/>
              <a:ea typeface="+mn-ea"/>
              <a:cs typeface="+mn-cs"/>
            </a:rPr>
            <a:t>        </a:t>
          </a:r>
          <a:r>
            <a:rPr lang="en-IN" sz="2000">
              <a:solidFill>
                <a:schemeClr val="dk1"/>
              </a:solidFill>
              <a:effectLst/>
              <a:latin typeface="+mn-lt"/>
              <a:ea typeface="+mn-ea"/>
              <a:cs typeface="+mn-cs"/>
            </a:rPr>
            <a:t>🌱</a:t>
          </a:r>
          <a:r>
            <a:rPr lang="en-IN" sz="2000" b="1" i="1" u="none" strike="noStrike">
              <a:solidFill>
                <a:schemeClr val="accent6">
                  <a:lumMod val="50000"/>
                </a:schemeClr>
              </a:solidFill>
              <a:effectLst/>
              <a:latin typeface="+mn-lt"/>
              <a:ea typeface="+mn-ea"/>
              <a:cs typeface="+mn-cs"/>
            </a:rPr>
            <a:t> </a:t>
          </a:r>
          <a:r>
            <a:rPr lang="en-IN" sz="2400" b="1" i="1" u="none" strike="noStrike">
              <a:solidFill>
                <a:schemeClr val="accent6">
                  <a:lumMod val="50000"/>
                </a:schemeClr>
              </a:solidFill>
              <a:effectLst/>
              <a:latin typeface="+mn-lt"/>
              <a:ea typeface="+mn-ea"/>
              <a:cs typeface="+mn-cs"/>
            </a:rPr>
            <a:t>Agricultural Crop Yield PivotTable</a:t>
          </a:r>
          <a:r>
            <a:rPr lang="en-IN" sz="1100" b="1" i="1">
              <a:solidFill>
                <a:schemeClr val="dk1"/>
              </a:solidFill>
              <a:effectLst/>
              <a:latin typeface="+mn-lt"/>
              <a:ea typeface="+mn-ea"/>
              <a:cs typeface="+mn-cs"/>
            </a:rPr>
            <a:t>      </a:t>
          </a:r>
          <a:r>
            <a:rPr lang="en-IN" sz="2000">
              <a:solidFill>
                <a:schemeClr val="dk1"/>
              </a:solidFill>
              <a:effectLst/>
              <a:latin typeface="+mn-lt"/>
              <a:ea typeface="+mn-ea"/>
              <a:cs typeface="+mn-cs"/>
            </a:rPr>
            <a:t>🌱</a:t>
          </a:r>
          <a:r>
            <a:rPr lang="en-IN" sz="2000" b="1" i="1">
              <a:solidFill>
                <a:schemeClr val="dk1"/>
              </a:solidFill>
              <a:effectLst/>
              <a:latin typeface="+mn-lt"/>
              <a:ea typeface="+mn-ea"/>
              <a:cs typeface="+mn-cs"/>
            </a:rPr>
            <a:t> </a:t>
          </a:r>
          <a:endParaRPr lang="en-IN" sz="2000">
            <a:solidFill>
              <a:schemeClr val="accent6">
                <a:lumMod val="50000"/>
              </a:schemeClr>
            </a:solidFill>
            <a:effectLst/>
          </a:endParaRP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3</xdr:col>
      <xdr:colOff>533400</xdr:colOff>
      <xdr:row>16</xdr:row>
      <xdr:rowOff>121920</xdr:rowOff>
    </xdr:to>
    <xdr:graphicFrame macro="">
      <xdr:nvGraphicFramePr>
        <xdr:cNvPr id="2" name="Chart 1">
          <a:extLst>
            <a:ext uri="{FF2B5EF4-FFF2-40B4-BE49-F238E27FC236}">
              <a16:creationId xmlns:a16="http://schemas.microsoft.com/office/drawing/2014/main" id="{9BE300B3-EA7E-4E8D-BA47-2BDF4A4F5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434340</xdr:colOff>
      <xdr:row>5</xdr:row>
      <xdr:rowOff>0</xdr:rowOff>
    </xdr:from>
    <xdr:to>
      <xdr:col>13</xdr:col>
      <xdr:colOff>373380</xdr:colOff>
      <xdr:row>16</xdr:row>
      <xdr:rowOff>114300</xdr:rowOff>
    </xdr:to>
    <xdr:graphicFrame macro="">
      <xdr:nvGraphicFramePr>
        <xdr:cNvPr id="3" name="Chart 2">
          <a:extLst>
            <a:ext uri="{FF2B5EF4-FFF2-40B4-BE49-F238E27FC236}">
              <a16:creationId xmlns:a16="http://schemas.microsoft.com/office/drawing/2014/main" id="{05464551-F5BD-4382-95D9-008B0B712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373380</xdr:colOff>
      <xdr:row>5</xdr:row>
      <xdr:rowOff>22860</xdr:rowOff>
    </xdr:from>
    <xdr:to>
      <xdr:col>17</xdr:col>
      <xdr:colOff>1257300</xdr:colOff>
      <xdr:row>16</xdr:row>
      <xdr:rowOff>110490</xdr:rowOff>
    </xdr:to>
    <xdr:graphicFrame macro="">
      <xdr:nvGraphicFramePr>
        <xdr:cNvPr id="5" name="Chart 4">
          <a:extLst>
            <a:ext uri="{FF2B5EF4-FFF2-40B4-BE49-F238E27FC236}">
              <a16:creationId xmlns:a16="http://schemas.microsoft.com/office/drawing/2014/main" id="{8C142CBF-165B-4168-94C3-B6ED5EA35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xdr:colOff>
      <xdr:row>27</xdr:row>
      <xdr:rowOff>106680</xdr:rowOff>
    </xdr:from>
    <xdr:to>
      <xdr:col>9</xdr:col>
      <xdr:colOff>60960</xdr:colOff>
      <xdr:row>40</xdr:row>
      <xdr:rowOff>137160</xdr:rowOff>
    </xdr:to>
    <xdr:graphicFrame macro="">
      <xdr:nvGraphicFramePr>
        <xdr:cNvPr id="6" name="Chart 5">
          <a:extLst>
            <a:ext uri="{FF2B5EF4-FFF2-40B4-BE49-F238E27FC236}">
              <a16:creationId xmlns:a16="http://schemas.microsoft.com/office/drawing/2014/main" id="{822E93EB-5E99-4C16-958A-07DB065BA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xdr:colOff>
      <xdr:row>16</xdr:row>
      <xdr:rowOff>83820</xdr:rowOff>
    </xdr:from>
    <xdr:to>
      <xdr:col>5</xdr:col>
      <xdr:colOff>541020</xdr:colOff>
      <xdr:row>27</xdr:row>
      <xdr:rowOff>7620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B7AA0E1F-847F-4D87-A7BE-631E0BBB12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2860" y="3223260"/>
              <a:ext cx="3566160" cy="1935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548640</xdr:colOff>
      <xdr:row>16</xdr:row>
      <xdr:rowOff>106680</xdr:rowOff>
    </xdr:from>
    <xdr:to>
      <xdr:col>11</xdr:col>
      <xdr:colOff>236220</xdr:colOff>
      <xdr:row>26</xdr:row>
      <xdr:rowOff>175260</xdr:rowOff>
    </xdr:to>
    <xdr:graphicFrame macro="">
      <xdr:nvGraphicFramePr>
        <xdr:cNvPr id="10" name="Chart 9">
          <a:extLst>
            <a:ext uri="{FF2B5EF4-FFF2-40B4-BE49-F238E27FC236}">
              <a16:creationId xmlns:a16="http://schemas.microsoft.com/office/drawing/2014/main" id="{4F9B9669-FA42-4F47-ACB0-059E7B71C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167640</xdr:colOff>
      <xdr:row>16</xdr:row>
      <xdr:rowOff>129540</xdr:rowOff>
    </xdr:from>
    <xdr:to>
      <xdr:col>16</xdr:col>
      <xdr:colOff>53340</xdr:colOff>
      <xdr:row>27</xdr:row>
      <xdr:rowOff>99060</xdr:rowOff>
    </xdr:to>
    <xdr:graphicFrame macro="">
      <xdr:nvGraphicFramePr>
        <xdr:cNvPr id="11" name="Chart 10">
          <a:extLst>
            <a:ext uri="{FF2B5EF4-FFF2-40B4-BE49-F238E27FC236}">
              <a16:creationId xmlns:a16="http://schemas.microsoft.com/office/drawing/2014/main" id="{1C3A7B83-973B-43AB-B1B6-B3DCA3671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83820</xdr:colOff>
      <xdr:row>41</xdr:row>
      <xdr:rowOff>167640</xdr:rowOff>
    </xdr:from>
    <xdr:to>
      <xdr:col>6</xdr:col>
      <xdr:colOff>83820</xdr:colOff>
      <xdr:row>52</xdr:row>
      <xdr:rowOff>114300</xdr:rowOff>
    </xdr:to>
    <xdr:graphicFrame macro="">
      <xdr:nvGraphicFramePr>
        <xdr:cNvPr id="16" name="Chart 15">
          <a:extLst>
            <a:ext uri="{FF2B5EF4-FFF2-40B4-BE49-F238E27FC236}">
              <a16:creationId xmlns:a16="http://schemas.microsoft.com/office/drawing/2014/main" id="{4FF7F850-7790-48A8-AB6B-3E86C31E5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106680</xdr:colOff>
      <xdr:row>26</xdr:row>
      <xdr:rowOff>167640</xdr:rowOff>
    </xdr:from>
    <xdr:to>
      <xdr:col>16</xdr:col>
      <xdr:colOff>60960</xdr:colOff>
      <xdr:row>41</xdr:row>
      <xdr:rowOff>167640</xdr:rowOff>
    </xdr:to>
    <xdr:graphicFrame macro="">
      <xdr:nvGraphicFramePr>
        <xdr:cNvPr id="17" name="Chart 16">
          <a:extLst>
            <a:ext uri="{FF2B5EF4-FFF2-40B4-BE49-F238E27FC236}">
              <a16:creationId xmlns:a16="http://schemas.microsoft.com/office/drawing/2014/main" id="{19F9A00A-3A6F-4C37-92CD-FD698EFDC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26</xdr:row>
      <xdr:rowOff>152400</xdr:rowOff>
    </xdr:from>
    <xdr:to>
      <xdr:col>6</xdr:col>
      <xdr:colOff>7620</xdr:colOff>
      <xdr:row>41</xdr:row>
      <xdr:rowOff>76200</xdr:rowOff>
    </xdr:to>
    <xdr:graphicFrame macro="">
      <xdr:nvGraphicFramePr>
        <xdr:cNvPr id="18" name="Chart 17">
          <a:extLst>
            <a:ext uri="{FF2B5EF4-FFF2-40B4-BE49-F238E27FC236}">
              <a16:creationId xmlns:a16="http://schemas.microsoft.com/office/drawing/2014/main" id="{05F9B775-1425-415C-962A-3ACEE35D9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7</xdr:col>
      <xdr:colOff>571500</xdr:colOff>
      <xdr:row>2</xdr:row>
      <xdr:rowOff>38100</xdr:rowOff>
    </xdr:from>
    <xdr:ext cx="184731" cy="264560"/>
    <xdr:sp macro="" textlink="">
      <xdr:nvSpPr>
        <xdr:cNvPr id="19" name="TextBox 18">
          <a:extLst>
            <a:ext uri="{FF2B5EF4-FFF2-40B4-BE49-F238E27FC236}">
              <a16:creationId xmlns:a16="http://schemas.microsoft.com/office/drawing/2014/main" id="{04627573-44AB-C29F-0328-66BC9F3FD7DE}"/>
            </a:ext>
          </a:extLst>
        </xdr:cNvPr>
        <xdr:cNvSpPr txBox="1"/>
      </xdr:nvSpPr>
      <xdr:spPr>
        <a:xfrm>
          <a:off x="5090160" y="617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91440</xdr:colOff>
      <xdr:row>0</xdr:row>
      <xdr:rowOff>7620</xdr:rowOff>
    </xdr:from>
    <xdr:ext cx="5958840" cy="1082040"/>
    <xdr:sp macro="" textlink="">
      <xdr:nvSpPr>
        <xdr:cNvPr id="20" name="TextBox 19">
          <a:extLst>
            <a:ext uri="{FF2B5EF4-FFF2-40B4-BE49-F238E27FC236}">
              <a16:creationId xmlns:a16="http://schemas.microsoft.com/office/drawing/2014/main" id="{F5C8A5F4-96AF-5AC9-69A1-F919A3592BFF}"/>
            </a:ext>
          </a:extLst>
        </xdr:cNvPr>
        <xdr:cNvSpPr txBox="1"/>
      </xdr:nvSpPr>
      <xdr:spPr>
        <a:xfrm>
          <a:off x="3749040" y="7620"/>
          <a:ext cx="5958840" cy="1082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a:t>🌱</a:t>
          </a:r>
          <a:r>
            <a:rPr lang="en-IN" sz="2400" b="1" i="1" u="none" strike="noStrike">
              <a:solidFill>
                <a:schemeClr val="accent6">
                  <a:lumMod val="50000"/>
                </a:schemeClr>
              </a:solidFill>
              <a:effectLst/>
              <a:latin typeface="+mn-lt"/>
              <a:ea typeface="+mn-ea"/>
              <a:cs typeface="+mn-cs"/>
            </a:rPr>
            <a:t>Agricultural Crop Yield Dashboard</a:t>
          </a:r>
          <a:r>
            <a:rPr lang="en-IN" sz="2400">
              <a:solidFill>
                <a:schemeClr val="accent6">
                  <a:lumMod val="50000"/>
                </a:schemeClr>
              </a:solidFill>
              <a:effectLst/>
            </a:rPr>
            <a:t> </a:t>
          </a:r>
          <a:r>
            <a:rPr lang="en-IN" sz="2400"/>
            <a:t>🌱</a:t>
          </a:r>
          <a:endParaRPr lang="en-IN" sz="2400">
            <a:solidFill>
              <a:schemeClr val="accent6">
                <a:lumMod val="50000"/>
              </a:schemeClr>
            </a:solidFill>
            <a:effectLst/>
          </a:endParaRPr>
        </a:p>
        <a:p>
          <a:r>
            <a:rPr lang="en-IN" sz="1200" b="0" i="0" u="none" strike="noStrike">
              <a:solidFill>
                <a:schemeClr val="tx1"/>
              </a:solidFill>
              <a:effectLst/>
              <a:latin typeface="+mn-lt"/>
              <a:ea typeface="+mn-ea"/>
              <a:cs typeface="+mn-cs"/>
            </a:rPr>
            <a:t>            Data_period:</a:t>
          </a:r>
          <a:r>
            <a:rPr lang="en-IN" sz="1200" b="0" i="1" u="none" strike="noStrike">
              <a:solidFill>
                <a:schemeClr val="tx1"/>
              </a:solidFill>
              <a:effectLst/>
              <a:latin typeface="+mn-lt"/>
              <a:ea typeface="+mn-ea"/>
              <a:cs typeface="+mn-cs"/>
            </a:rPr>
            <a:t>1905-2022</a:t>
          </a:r>
          <a:r>
            <a:rPr lang="en-IN" sz="1200">
              <a:effectLst/>
            </a:rPr>
            <a:t> </a:t>
          </a:r>
        </a:p>
        <a:p>
          <a:endParaRPr lang="en-IN" sz="2400"/>
        </a:p>
      </xdr:txBody>
    </xdr:sp>
    <xdr:clientData/>
  </xdr:oneCellAnchor>
  <xdr:twoCellAnchor editAs="oneCell">
    <xdr:from>
      <xdr:col>5</xdr:col>
      <xdr:colOff>594360</xdr:colOff>
      <xdr:row>40</xdr:row>
      <xdr:rowOff>137160</xdr:rowOff>
    </xdr:from>
    <xdr:to>
      <xdr:col>8</xdr:col>
      <xdr:colOff>91440</xdr:colOff>
      <xdr:row>54</xdr:row>
      <xdr:rowOff>43815</xdr:rowOff>
    </xdr:to>
    <mc:AlternateContent xmlns:mc="http://schemas.openxmlformats.org/markup-compatibility/2006">
      <mc:Choice xmlns:a14="http://schemas.microsoft.com/office/drawing/2010/main" Requires="a14">
        <xdr:graphicFrame macro="">
          <xdr:nvGraphicFramePr>
            <xdr:cNvPr id="21" name="Crop Name 1">
              <a:extLst>
                <a:ext uri="{FF2B5EF4-FFF2-40B4-BE49-F238E27FC236}">
                  <a16:creationId xmlns:a16="http://schemas.microsoft.com/office/drawing/2014/main" id="{D2353589-A518-A64F-58F1-4B9E555552A2}"/>
                </a:ext>
              </a:extLst>
            </xdr:cNvPr>
            <xdr:cNvGraphicFramePr/>
          </xdr:nvGraphicFramePr>
          <xdr:xfrm>
            <a:off x="0" y="0"/>
            <a:ext cx="0" cy="0"/>
          </xdr:xfrm>
          <a:graphic>
            <a:graphicData uri="http://schemas.microsoft.com/office/drawing/2010/slicer">
              <sle:slicer xmlns:sle="http://schemas.microsoft.com/office/drawing/2010/slicer" name="Crop Name 1"/>
            </a:graphicData>
          </a:graphic>
        </xdr:graphicFrame>
      </mc:Choice>
      <mc:Fallback>
        <xdr:sp macro="" textlink="">
          <xdr:nvSpPr>
            <xdr:cNvPr id="0" name=""/>
            <xdr:cNvSpPr>
              <a:spLocks noTextEdit="1"/>
            </xdr:cNvSpPr>
          </xdr:nvSpPr>
          <xdr:spPr>
            <a:xfrm>
              <a:off x="3642360" y="7452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1143000</xdr:colOff>
      <xdr:row>40</xdr:row>
      <xdr:rowOff>144780</xdr:rowOff>
    </xdr:from>
    <xdr:to>
      <xdr:col>9</xdr:col>
      <xdr:colOff>30480</xdr:colOff>
      <xdr:row>54</xdr:row>
      <xdr:rowOff>51435</xdr:rowOff>
    </xdr:to>
    <mc:AlternateContent xmlns:mc="http://schemas.openxmlformats.org/markup-compatibility/2006">
      <mc:Choice xmlns:a14="http://schemas.microsoft.com/office/drawing/2010/main" Requires="a14">
        <xdr:graphicFrame macro="">
          <xdr:nvGraphicFramePr>
            <xdr:cNvPr id="22" name="District 1">
              <a:extLst>
                <a:ext uri="{FF2B5EF4-FFF2-40B4-BE49-F238E27FC236}">
                  <a16:creationId xmlns:a16="http://schemas.microsoft.com/office/drawing/2014/main" id="{E61EAC19-9A48-89CF-7502-10F0B3DACCA9}"/>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dr:sp macro="" textlink="">
          <xdr:nvSpPr>
            <xdr:cNvPr id="0" name=""/>
            <xdr:cNvSpPr>
              <a:spLocks noTextEdit="1"/>
            </xdr:cNvSpPr>
          </xdr:nvSpPr>
          <xdr:spPr>
            <a:xfrm>
              <a:off x="5379720" y="7459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xdr:colOff>
      <xdr:row>42</xdr:row>
      <xdr:rowOff>53340</xdr:rowOff>
    </xdr:from>
    <xdr:to>
      <xdr:col>10</xdr:col>
      <xdr:colOff>464820</xdr:colOff>
      <xdr:row>55</xdr:row>
      <xdr:rowOff>142875</xdr:rowOff>
    </xdr:to>
    <mc:AlternateContent xmlns:mc="http://schemas.openxmlformats.org/markup-compatibility/2006">
      <mc:Choice xmlns:a14="http://schemas.microsoft.com/office/drawing/2010/main" Requires="a14">
        <xdr:graphicFrame macro="">
          <xdr:nvGraphicFramePr>
            <xdr:cNvPr id="23" name="State 1">
              <a:extLst>
                <a:ext uri="{FF2B5EF4-FFF2-40B4-BE49-F238E27FC236}">
                  <a16:creationId xmlns:a16="http://schemas.microsoft.com/office/drawing/2014/main" id="{1AACAA87-D072-AE05-C8C6-8574CC1ED10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7223760" y="7734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487680</xdr:colOff>
      <xdr:row>42</xdr:row>
      <xdr:rowOff>38100</xdr:rowOff>
    </xdr:from>
    <xdr:to>
      <xdr:col>13</xdr:col>
      <xdr:colOff>487680</xdr:colOff>
      <xdr:row>55</xdr:row>
      <xdr:rowOff>127635</xdr:rowOff>
    </xdr:to>
    <mc:AlternateContent xmlns:mc="http://schemas.openxmlformats.org/markup-compatibility/2006">
      <mc:Choice xmlns:a14="http://schemas.microsoft.com/office/drawing/2010/main" Requires="a14">
        <xdr:graphicFrame macro="">
          <xdr:nvGraphicFramePr>
            <xdr:cNvPr id="24" name="Year_MM">
              <a:extLst>
                <a:ext uri="{FF2B5EF4-FFF2-40B4-BE49-F238E27FC236}">
                  <a16:creationId xmlns:a16="http://schemas.microsoft.com/office/drawing/2014/main" id="{019068A5-F6D9-3EF1-C016-5EE9F24375A5}"/>
                </a:ext>
              </a:extLst>
            </xdr:cNvPr>
            <xdr:cNvGraphicFramePr/>
          </xdr:nvGraphicFramePr>
          <xdr:xfrm>
            <a:off x="0" y="0"/>
            <a:ext cx="0" cy="0"/>
          </xdr:xfrm>
          <a:graphic>
            <a:graphicData uri="http://schemas.microsoft.com/office/drawing/2010/slicer">
              <sle:slicer xmlns:sle="http://schemas.microsoft.com/office/drawing/2010/slicer" name="Year_MM"/>
            </a:graphicData>
          </a:graphic>
        </xdr:graphicFrame>
      </mc:Choice>
      <mc:Fallback>
        <xdr:sp macro="" textlink="">
          <xdr:nvSpPr>
            <xdr:cNvPr id="0" name=""/>
            <xdr:cNvSpPr>
              <a:spLocks noTextEdit="1"/>
            </xdr:cNvSpPr>
          </xdr:nvSpPr>
          <xdr:spPr>
            <a:xfrm>
              <a:off x="9075420" y="7719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213360</xdr:colOff>
      <xdr:row>45</xdr:row>
      <xdr:rowOff>160020</xdr:rowOff>
    </xdr:from>
    <xdr:to>
      <xdr:col>14</xdr:col>
      <xdr:colOff>213360</xdr:colOff>
      <xdr:row>59</xdr:row>
      <xdr:rowOff>66675</xdr:rowOff>
    </xdr:to>
    <mc:AlternateContent xmlns:mc="http://schemas.openxmlformats.org/markup-compatibility/2006">
      <mc:Choice xmlns:a14="http://schemas.microsoft.com/office/drawing/2010/main" Requires="a14">
        <xdr:graphicFrame macro="">
          <xdr:nvGraphicFramePr>
            <xdr:cNvPr id="25" name="Fertilizer Type 1">
              <a:extLst>
                <a:ext uri="{FF2B5EF4-FFF2-40B4-BE49-F238E27FC236}">
                  <a16:creationId xmlns:a16="http://schemas.microsoft.com/office/drawing/2014/main" id="{F3232E8A-A288-BC4C-9E41-FC557CA82728}"/>
                </a:ext>
              </a:extLst>
            </xdr:cNvPr>
            <xdr:cNvGraphicFramePr/>
          </xdr:nvGraphicFramePr>
          <xdr:xfrm>
            <a:off x="0" y="0"/>
            <a:ext cx="0" cy="0"/>
          </xdr:xfrm>
          <a:graphic>
            <a:graphicData uri="http://schemas.microsoft.com/office/drawing/2010/slicer">
              <sle:slicer xmlns:sle="http://schemas.microsoft.com/office/drawing/2010/slicer" name="Fertilizer Type 1"/>
            </a:graphicData>
          </a:graphic>
        </xdr:graphicFrame>
      </mc:Choice>
      <mc:Fallback>
        <xdr:sp macro="" textlink="">
          <xdr:nvSpPr>
            <xdr:cNvPr id="0" name=""/>
            <xdr:cNvSpPr>
              <a:spLocks noTextEdit="1"/>
            </xdr:cNvSpPr>
          </xdr:nvSpPr>
          <xdr:spPr>
            <a:xfrm>
              <a:off x="9410700" y="8389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190500</xdr:colOff>
      <xdr:row>42</xdr:row>
      <xdr:rowOff>175260</xdr:rowOff>
    </xdr:from>
    <xdr:to>
      <xdr:col>16</xdr:col>
      <xdr:colOff>800100</xdr:colOff>
      <xdr:row>56</xdr:row>
      <xdr:rowOff>81915</xdr:rowOff>
    </xdr:to>
    <mc:AlternateContent xmlns:mc="http://schemas.openxmlformats.org/markup-compatibility/2006">
      <mc:Choice xmlns:a14="http://schemas.microsoft.com/office/drawing/2010/main" Requires="a14">
        <xdr:graphicFrame macro="">
          <xdr:nvGraphicFramePr>
            <xdr:cNvPr id="26" name="Irrigation Type 1">
              <a:extLst>
                <a:ext uri="{FF2B5EF4-FFF2-40B4-BE49-F238E27FC236}">
                  <a16:creationId xmlns:a16="http://schemas.microsoft.com/office/drawing/2014/main" id="{63744D08-E53E-DCE5-EE56-4A2A4AED4097}"/>
                </a:ext>
              </a:extLst>
            </xdr:cNvPr>
            <xdr:cNvGraphicFramePr/>
          </xdr:nvGraphicFramePr>
          <xdr:xfrm>
            <a:off x="0" y="0"/>
            <a:ext cx="0" cy="0"/>
          </xdr:xfrm>
          <a:graphic>
            <a:graphicData uri="http://schemas.microsoft.com/office/drawing/2010/slicer">
              <sle:slicer xmlns:sle="http://schemas.microsoft.com/office/drawing/2010/slicer" name="Irrigation Type 1"/>
            </a:graphicData>
          </a:graphic>
        </xdr:graphicFrame>
      </mc:Choice>
      <mc:Fallback>
        <xdr:sp macro="" textlink="">
          <xdr:nvSpPr>
            <xdr:cNvPr id="0" name=""/>
            <xdr:cNvSpPr>
              <a:spLocks noTextEdit="1"/>
            </xdr:cNvSpPr>
          </xdr:nvSpPr>
          <xdr:spPr>
            <a:xfrm>
              <a:off x="11216640" y="7856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87636226852" backgroundQuery="1" createdVersion="8" refreshedVersion="8" minRefreshableVersion="3" recordCount="0" supportSubquery="1" supportAdvancedDrill="1" xr:uid="{30724F23-7A96-4522-9ED7-9B6AB48E3703}">
  <cacheSource type="external" connectionId="2"/>
  <cacheFields count="2">
    <cacheField name="[Table1_2].[Irrigation Type].[Irrigation Type]" caption="Irrigation Type" numFmtId="0" hierarchy="11" level="1">
      <sharedItems count="4">
        <s v="Borewell"/>
        <s v="Canal"/>
        <s v="Drip"/>
        <s v="Rainfed"/>
      </sharedItems>
    </cacheField>
    <cacheField name="[Measures].[Sum of Area (Hectares)]" caption="Sum of Area (Hectares)" numFmtId="0" hierarchy="26" level="32767"/>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0"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0" memberValueDatatype="130" unbalanced="0"/>
    <cacheHierarchy uniqueName="[Table1_2].[District]" caption="District" attribute="1" defaultMemberUniqueName="[Table1_2].[District].[All]" allUniqueName="[Table1_2].[District].[All]" dimensionUniqueName="[Table1_2]" displayFolder="" count="0" memberValueDatatype="130" unbalanced="0"/>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0" memberValueDatatype="130" unbalanced="0"/>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fieldsUsage count="2">
        <fieldUsage x="-1"/>
        <fieldUsage x="0"/>
      </fieldsUsage>
    </cacheHierarchy>
    <cacheHierarchy uniqueName="[Table1_2].[Fertilizer Type]" caption="Fertilizer Type" attribute="1" defaultMemberUniqueName="[Table1_2].[Fertilizer Type].[All]" allUniqueName="[Table1_2].[Fertilizer Type].[All]" dimensionUniqueName="[Table1_2]" displayFolder="" count="2" memberValueDatatype="130" unbalanced="0"/>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0" memberValueDatatype="130" unbalanced="0"/>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hidden="1">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hidden="1">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65509261" backgroundQuery="1" createdVersion="8" refreshedVersion="8" minRefreshableVersion="3" recordCount="0" supportSubquery="1" supportAdvancedDrill="1" xr:uid="{D74AE437-E32F-4DFB-8439-BEC9765869F3}">
  <cacheSource type="external" connectionId="2"/>
  <cacheFields count="4">
    <cacheField name="[Table1_2].[Fertilizer Type].[Fertilizer Type]" caption="Fertilizer Type" numFmtId="0" hierarchy="12" level="1">
      <sharedItems count="5">
        <s v="Compost"/>
        <s v="DAP"/>
        <s v="NPK"/>
        <s v="Urea"/>
        <s v="Vermicompost"/>
      </sharedItems>
    </cacheField>
    <cacheField name="[Table1_2].[Irrigation Type].[Irrigation Type]" caption="Irrigation Type" numFmtId="0" hierarchy="11" level="1">
      <sharedItems count="4">
        <s v="Borewell"/>
        <s v="Canal"/>
        <s v="Drip"/>
        <s v="Rainfed"/>
      </sharedItems>
    </cacheField>
    <cacheField name="[Measures].[Sum of Yield per Acre]" caption="Sum of Yield per Acre" numFmtId="0" hierarchy="23" level="32767"/>
    <cacheField name="[Table1_2].[State].[State]" caption="State" numFmtId="0" hierarchy="4" level="1">
      <sharedItems containsSemiMixedTypes="0" containsNonDate="0" containsString="0"/>
    </cacheField>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0"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3"/>
      </fieldsUsage>
    </cacheHierarchy>
    <cacheHierarchy uniqueName="[Table1_2].[District]" caption="District" attribute="1" defaultMemberUniqueName="[Table1_2].[District].[All]" allUniqueName="[Table1_2].[District].[All]" dimensionUniqueName="[Table1_2]" displayFolder="" count="2" memberValueDatatype="130" unbalanced="0"/>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0" memberValueDatatype="130" unbalanced="0"/>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fieldsUsage count="2">
        <fieldUsage x="-1"/>
        <fieldUsage x="1"/>
      </fieldsUsage>
    </cacheHierarchy>
    <cacheHierarchy uniqueName="[Table1_2].[Fertilizer Type]" caption="Fertilizer Type" attribute="1" defaultMemberUniqueName="[Table1_2].[Fertilizer Type].[All]" allUniqueName="[Table1_2].[Fertilizer Type].[All]" dimensionUniqueName="[Table1_2]" displayFolder="" count="2" memberValueDatatype="130" unbalanced="0">
      <fieldsUsage count="2">
        <fieldUsage x="-1"/>
        <fieldUsage x="0"/>
      </fieldsUsage>
    </cacheHierarchy>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0" memberValueDatatype="130" unbalanced="0"/>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hidden="1">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hidden="1">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66087961" backgroundQuery="1" createdVersion="8" refreshedVersion="8" minRefreshableVersion="3" recordCount="0" supportSubquery="1" supportAdvancedDrill="1" xr:uid="{56D242AD-456F-48A2-A42D-F9FBE09C8335}">
  <cacheSource type="external" connectionId="2"/>
  <cacheFields count="5">
    <cacheField name="[Measures].[Sum of Temperature (Celsius)]" caption="Sum of Temperature (Celsius)" numFmtId="0" hierarchy="25" level="32767"/>
    <cacheField name="[Table1_2].[Crop Name].[Crop Name]" caption="Crop Name" numFmtId="0" hierarchy="7" level="1">
      <sharedItems count="6">
        <s v="Cotton"/>
        <s v="Maize"/>
        <s v="Pulses"/>
        <s v="Rice"/>
        <s v="Sugarcane"/>
        <s v="Wheat"/>
      </sharedItems>
    </cacheField>
    <cacheField name="[Table1_2].[Soil Type].[Soil Type]" caption="Soil Type" numFmtId="0" hierarchy="15" level="1">
      <sharedItems count="5">
        <s v="Alluvial"/>
        <s v="Black"/>
        <s v="Laterite"/>
        <s v="Red"/>
        <s v="Sandy"/>
      </sharedItems>
    </cacheField>
    <cacheField name="[Measures].[Sum of Area (Hectares)]" caption="Sum of Area (Hectares)" numFmtId="0" hierarchy="26" level="32767"/>
    <cacheField name="[Table1_2].[State].[State]" caption="State" numFmtId="0" hierarchy="4" level="1">
      <sharedItems containsSemiMixedTypes="0" containsNonDate="0" containsString="0"/>
    </cacheField>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0"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4"/>
      </fieldsUsage>
    </cacheHierarchy>
    <cacheHierarchy uniqueName="[Table1_2].[District]" caption="District" attribute="1" defaultMemberUniqueName="[Table1_2].[District].[All]" allUniqueName="[Table1_2].[District].[All]" dimensionUniqueName="[Table1_2]" displayFolder="" count="2" memberValueDatatype="130" unbalanced="0"/>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2" memberValueDatatype="130" unbalanced="0">
      <fieldsUsage count="2">
        <fieldUsage x="-1"/>
        <fieldUsage x="1"/>
      </fieldsUsage>
    </cacheHierarchy>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cacheHierarchy uniqueName="[Table1_2].[Fertilizer Type]" caption="Fertilizer Type" attribute="1" defaultMemberUniqueName="[Table1_2].[Fertilizer Type].[All]" allUniqueName="[Table1_2].[Fertilizer Type].[All]" dimensionUniqueName="[Table1_2]" displayFolder="" count="2" memberValueDatatype="130" unbalanced="0"/>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2" memberValueDatatype="130" unbalanced="0">
      <fieldsUsage count="2">
        <fieldUsage x="-1"/>
        <fieldUsage x="2"/>
      </fieldsUsage>
    </cacheHierarchy>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hidden="1">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hidden="1">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66666669" backgroundQuery="1" createdVersion="8" refreshedVersion="8" minRefreshableVersion="3" recordCount="0" supportSubquery="1" supportAdvancedDrill="1" xr:uid="{BD3064D3-03A9-4039-8488-9B6ACEACAF65}">
  <cacheSource type="external" connectionId="2"/>
  <cacheFields count="3">
    <cacheField name="[Table1_2].[Crop Name].[Crop Name]" caption="Crop Name" numFmtId="0" hierarchy="7" level="1">
      <sharedItems count="6">
        <s v="Cotton"/>
        <s v="Maize"/>
        <s v="Pulses"/>
        <s v="Rice"/>
        <s v="Sugarcane"/>
        <s v="Wheat"/>
      </sharedItems>
    </cacheField>
    <cacheField name="[Measures].[Sum of Yield per Acre]" caption="Sum of Yield per Acre" numFmtId="0" hierarchy="23" level="32767"/>
    <cacheField name="[Table1_2].[State].[State]" caption="State" numFmtId="0" hierarchy="4" level="1">
      <sharedItems containsSemiMixedTypes="0" containsNonDate="0" containsString="0"/>
    </cacheField>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0"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2"/>
      </fieldsUsage>
    </cacheHierarchy>
    <cacheHierarchy uniqueName="[Table1_2].[District]" caption="District" attribute="1" defaultMemberUniqueName="[Table1_2].[District].[All]" allUniqueName="[Table1_2].[District].[All]" dimensionUniqueName="[Table1_2]" displayFolder="" count="2" memberValueDatatype="130" unbalanced="0"/>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2" memberValueDatatype="130" unbalanced="0">
      <fieldsUsage count="2">
        <fieldUsage x="-1"/>
        <fieldUsage x="0"/>
      </fieldsUsage>
    </cacheHierarchy>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cacheHierarchy uniqueName="[Table1_2].[Fertilizer Type]" caption="Fertilizer Type" attribute="1" defaultMemberUniqueName="[Table1_2].[Fertilizer Type].[All]" allUniqueName="[Table1_2].[Fertilizer Type].[All]" dimensionUniqueName="[Table1_2]" displayFolder="" count="2" memberValueDatatype="130" unbalanced="0"/>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0" memberValueDatatype="130" unbalanced="0"/>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hidden="1">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hidden="1">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67245369" backgroundQuery="1" createdVersion="8" refreshedVersion="8" minRefreshableVersion="3" recordCount="0" supportSubquery="1" supportAdvancedDrill="1" xr:uid="{040920AD-0D38-4B28-9ED7-8954AFD9B05E}">
  <cacheSource type="external" connectionId="2"/>
  <cacheFields count="4">
    <cacheField name="[Measures].[Sum of Yield (Kg/Ha)]" caption="Sum of Yield (Kg/Ha)" numFmtId="0" hierarchy="22" level="32767"/>
    <cacheField name="[Table1_2].[Season].[Season]" caption="Season" numFmtId="0" hierarchy="6" level="1">
      <sharedItems count="3">
        <s v="Kharif"/>
        <s v="Rabi"/>
        <s v="Zaid"/>
      </sharedItems>
    </cacheField>
    <cacheField name="[Table1_2].[Crop Name].[Crop Name]" caption="Crop Name" numFmtId="0" hierarchy="7" level="1">
      <sharedItems count="6">
        <s v="Cotton"/>
        <s v="Maize"/>
        <s v="Pulses"/>
        <s v="Rice"/>
        <s v="Sugarcane"/>
        <s v="Wheat"/>
      </sharedItems>
    </cacheField>
    <cacheField name="[Table1_2].[State].[State]" caption="State" numFmtId="0" hierarchy="4" level="1">
      <sharedItems containsSemiMixedTypes="0" containsNonDate="0" containsString="0"/>
    </cacheField>
  </cacheFields>
  <cacheHierarchies count="28">
    <cacheHierarchy uniqueName="[Table1_2].[Crop ID]" caption="Crop ID" attribute="1" defaultMemberUniqueName="[Table1_2].[Crop ID].[All]" allUniqueName="[Table1_2].[Crop ID].[All]" dimensionUniqueName="[Table1_2]" displayFolder="" count="2" memberValueDatatype="130" unbalanced="0"/>
    <cacheHierarchy uniqueName="[Table1_2].[Date]" caption="Date" attribute="1" time="1" defaultMemberUniqueName="[Table1_2].[Date].[All]" allUniqueName="[Table1_2].[Date].[All]" dimensionUniqueName="[Table1_2]" displayFolder="" count="2" memberValueDatatype="7" unbalanced="0"/>
    <cacheHierarchy uniqueName="[Table1_2].[Year_MM]" caption="Year_MM" attribute="1" defaultMemberUniqueName="[Table1_2].[Year_MM].[All]" allUniqueName="[Table1_2].[Year_MM].[All]" dimensionUniqueName="[Table1_2]" displayFolder="" count="2"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3"/>
      </fieldsUsage>
    </cacheHierarchy>
    <cacheHierarchy uniqueName="[Table1_2].[District]" caption="District" attribute="1" defaultMemberUniqueName="[Table1_2].[District].[All]" allUniqueName="[Table1_2].[District].[All]" dimensionUniqueName="[Table1_2]" displayFolder="" count="2" memberValueDatatype="130" unbalanced="0"/>
    <cacheHierarchy uniqueName="[Table1_2].[Season]" caption="Season" attribute="1" defaultMemberUniqueName="[Table1_2].[Season].[All]" allUniqueName="[Table1_2].[Season].[All]" dimensionUniqueName="[Table1_2]" displayFolder="" count="2" memberValueDatatype="130" unbalanced="0">
      <fieldsUsage count="2">
        <fieldUsage x="-1"/>
        <fieldUsage x="1"/>
      </fieldsUsage>
    </cacheHierarchy>
    <cacheHierarchy uniqueName="[Table1_2].[Crop Name]" caption="Crop Name" attribute="1" defaultMemberUniqueName="[Table1_2].[Crop Name].[All]" allUniqueName="[Table1_2].[Crop Name].[All]" dimensionUniqueName="[Table1_2]" displayFolder="" count="2" memberValueDatatype="130" unbalanced="0">
      <fieldsUsage count="2">
        <fieldUsage x="-1"/>
        <fieldUsage x="2"/>
      </fieldsUsage>
    </cacheHierarchy>
    <cacheHierarchy uniqueName="[Table1_2].[Area (Hectares)]" caption="Area (Hectares)" attribute="1" defaultMemberUniqueName="[Table1_2].[Area (Hectares)].[All]" allUniqueName="[Table1_2].[Area (Hectares)].[All]" dimensionUniqueName="[Table1_2]" displayFolder="" count="2" memberValueDatatype="5" unbalanced="0"/>
    <cacheHierarchy uniqueName="[Table1_2].[Production (Tonnes)]" caption="Production (Tonnes)" attribute="1" defaultMemberUniqueName="[Table1_2].[Production (Tonnes)].[All]" allUniqueName="[Table1_2].[Production (Tonnes)].[All]" dimensionUniqueName="[Table1_2]" displayFolder="" count="2" memberValueDatatype="5" unbalanced="0"/>
    <cacheHierarchy uniqueName="[Table1_2].[Yield (Kg/Ha)]" caption="Yield (Kg/Ha)" attribute="1" defaultMemberUniqueName="[Table1_2].[Yield (Kg/Ha)].[All]" allUniqueName="[Table1_2].[Yield (Kg/Ha)].[All]" dimensionUniqueName="[Table1_2]" displayFolder="" count="2"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cacheHierarchy uniqueName="[Table1_2].[Fertilizer Type]" caption="Fertilizer Type" attribute="1" defaultMemberUniqueName="[Table1_2].[Fertilizer Type].[All]" allUniqueName="[Table1_2].[Fertilizer Type].[All]" dimensionUniqueName="[Table1_2]" displayFolder="" count="2" memberValueDatatype="130" unbalanced="0"/>
    <cacheHierarchy uniqueName="[Table1_2].[Fertilizer Used (Kg)]" caption="Fertilizer Used (Kg)" attribute="1" defaultMemberUniqueName="[Table1_2].[Fertilizer Used (Kg)].[All]" allUniqueName="[Table1_2].[Fertilizer Used (Kg)].[All]" dimensionUniqueName="[Table1_2]" displayFolder="" count="2" memberValueDatatype="5" unbalanced="0"/>
    <cacheHierarchy uniqueName="[Table1_2].[Rainfall (mm)]" caption="Rainfall (mm)" attribute="1" defaultMemberUniqueName="[Table1_2].[Rainfall (mm)].[All]" allUniqueName="[Table1_2].[Rainfall (mm)].[All]" dimensionUniqueName="[Table1_2]" displayFolder="" count="2" memberValueDatatype="5" unbalanced="0"/>
    <cacheHierarchy uniqueName="[Table1_2].[Soil Type]" caption="Soil Type" attribute="1" defaultMemberUniqueName="[Table1_2].[Soil Type].[All]" allUniqueName="[Table1_2].[Soil Type].[All]" dimensionUniqueName="[Table1_2]" displayFolder="" count="2" memberValueDatatype="130" unbalanced="0"/>
    <cacheHierarchy uniqueName="[Table1_2].[Temperature (Celsius)]" caption="Temperature (Celsius)" attribute="1" defaultMemberUniqueName="[Table1_2].[Temperature (Celsius)].[All]" allUniqueName="[Table1_2].[Temperature (Celsius)].[All]" dimensionUniqueName="[Table1_2]" displayFolder="" count="2" memberValueDatatype="5" unbalanced="0"/>
    <cacheHierarchy uniqueName="[Table1_2].[Yield per Acre]" caption="Yield per Acre" attribute="1" defaultMemberUniqueName="[Table1_2].[Yield per Acre].[All]" allUniqueName="[Table1_2].[Yield per Acre].[All]" dimensionUniqueName="[Table1_2]" displayFolder="" count="2" memberValueDatatype="5" unbalanced="0"/>
    <cacheHierarchy uniqueName="[Table1_2].[Productivity]" caption="Productivity" attribute="1" defaultMemberUniqueName="[Table1_2].[Productivity].[All]" allUniqueName="[Table1_2].[Productivity].[All]" dimensionUniqueName="[Table1_2]" displayFolder="" count="2" memberValueDatatype="5" unbalanced="0"/>
    <cacheHierarchy uniqueName="[Table1_2].[Efficiency metric]" caption="Efficiency metric" attribute="1" defaultMemberUniqueName="[Table1_2].[Efficiency metric].[All]" allUniqueName="[Table1_2].[Efficiency metric].[All]" dimensionUniqueName="[Table1_2]" displayFolder="" count="2"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hidden="1">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hidden="1">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67708331" backgroundQuery="1" createdVersion="8" refreshedVersion="8" minRefreshableVersion="3" recordCount="0" supportSubquery="1" supportAdvancedDrill="1" xr:uid="{A613EAFB-FF80-4CF7-8921-55983CDED73C}">
  <cacheSource type="external" connectionId="2"/>
  <cacheFields count="3">
    <cacheField name="[Table1_2].[District].[District]" caption="District" numFmtId="0" hierarchy="5" level="1">
      <sharedItems count="21">
        <s v="Amritsar"/>
        <s v="Bangalore"/>
        <s v="Bhagalpur"/>
        <s v="Darjeeling"/>
        <s v="Faridabad"/>
        <s v="Gaya"/>
        <s v="Gurgaon"/>
        <s v="Hisar"/>
        <s v="Howrah"/>
        <s v="Hubli"/>
        <s v="Kanpur"/>
        <s v="Kolkata"/>
        <s v="Lucknow"/>
        <s v="Ludhiana"/>
        <s v="Mumbai"/>
        <s v="Mysore"/>
        <s v="Nagpur"/>
        <s v="Patiala"/>
        <s v="Patna"/>
        <s v="Pune"/>
        <s v="Varanasi"/>
      </sharedItems>
    </cacheField>
    <cacheField name="[Measures].[Sum of Fertilizer Used (Kg)]" caption="Sum of Fertilizer Used (Kg)" numFmtId="0" hierarchy="27" level="32767"/>
    <cacheField name="[Table1_2].[State].[State]" caption="State" numFmtId="0" hierarchy="4" level="1">
      <sharedItems containsSemiMixedTypes="0" containsNonDate="0" containsString="0"/>
    </cacheField>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0"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2"/>
      </fieldsUsage>
    </cacheHierarchy>
    <cacheHierarchy uniqueName="[Table1_2].[District]" caption="District" attribute="1" defaultMemberUniqueName="[Table1_2].[District].[All]" allUniqueName="[Table1_2].[District].[All]" dimensionUniqueName="[Table1_2]" displayFolder="" count="2" memberValueDatatype="130" unbalanced="0">
      <fieldsUsage count="2">
        <fieldUsage x="-1"/>
        <fieldUsage x="0"/>
      </fieldsUsage>
    </cacheHierarchy>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0" memberValueDatatype="130" unbalanced="0"/>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cacheHierarchy uniqueName="[Table1_2].[Fertilizer Type]" caption="Fertilizer Type" attribute="1" defaultMemberUniqueName="[Table1_2].[Fertilizer Type].[All]" allUniqueName="[Table1_2].[Fertilizer Type].[All]" dimensionUniqueName="[Table1_2]" displayFolder="" count="2" memberValueDatatype="130" unbalanced="0"/>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0" memberValueDatatype="130" unbalanced="0"/>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hidden="1">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hidden="1">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hidden="1">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68402778" backgroundQuery="1" createdVersion="8" refreshedVersion="8" minRefreshableVersion="3" recordCount="0" supportSubquery="1" supportAdvancedDrill="1" xr:uid="{EFF242B7-D2BD-4FA7-BBA2-3AF76592F257}">
  <cacheSource type="external" connectionId="2"/>
  <cacheFields count="4">
    <cacheField name="[Table1_2].[Fertilizer Type].[Fertilizer Type]" caption="Fertilizer Type" numFmtId="0" hierarchy="12" level="1">
      <sharedItems count="5">
        <s v="Compost"/>
        <s v="DAP"/>
        <s v="NPK"/>
        <s v="Urea"/>
        <s v="Vermicompost"/>
      </sharedItems>
    </cacheField>
    <cacheField name="[Table1_2].[Irrigation Type].[Irrigation Type]" caption="Irrigation Type" numFmtId="0" hierarchy="11" level="1">
      <sharedItems count="4">
        <s v="Borewell"/>
        <s v="Canal"/>
        <s v="Drip"/>
        <s v="Rainfed"/>
      </sharedItems>
    </cacheField>
    <cacheField name="[Measures].[Sum of Yield per Acre]" caption="Sum of Yield per Acre" numFmtId="0" hierarchy="23" level="32767"/>
    <cacheField name="[Table1_2].[State].[State]" caption="State" numFmtId="0" hierarchy="4" level="1">
      <sharedItems containsSemiMixedTypes="0" containsNonDate="0" containsString="0"/>
    </cacheField>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0"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3"/>
      </fieldsUsage>
    </cacheHierarchy>
    <cacheHierarchy uniqueName="[Table1_2].[District]" caption="District" attribute="1" defaultMemberUniqueName="[Table1_2].[District].[All]" allUniqueName="[Table1_2].[District].[All]" dimensionUniqueName="[Table1_2]" displayFolder="" count="2" memberValueDatatype="130" unbalanced="0"/>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0" memberValueDatatype="130" unbalanced="0"/>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fieldsUsage count="2">
        <fieldUsage x="-1"/>
        <fieldUsage x="1"/>
      </fieldsUsage>
    </cacheHierarchy>
    <cacheHierarchy uniqueName="[Table1_2].[Fertilizer Type]" caption="Fertilizer Type" attribute="1" defaultMemberUniqueName="[Table1_2].[Fertilizer Type].[All]" allUniqueName="[Table1_2].[Fertilizer Type].[All]" dimensionUniqueName="[Table1_2]" displayFolder="" count="2" memberValueDatatype="130" unbalanced="0">
      <fieldsUsage count="2">
        <fieldUsage x="-1"/>
        <fieldUsage x="0"/>
      </fieldsUsage>
    </cacheHierarchy>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0" memberValueDatatype="130" unbalanced="0"/>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hidden="1">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hidden="1">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6886574" backgroundQuery="1" createdVersion="8" refreshedVersion="8" minRefreshableVersion="3" recordCount="0" supportSubquery="1" supportAdvancedDrill="1" xr:uid="{69C74BAE-98DE-4BB9-8473-3A45BF51E113}">
  <cacheSource type="external" connectionId="2"/>
  <cacheFields count="3">
    <cacheField name="[Measures].[Sum of Yield per Acre]" caption="Sum of Yield per Acre" numFmtId="0" hierarchy="23" level="32767"/>
    <cacheField name="[Table1_2].[Fertilizer Type].[Fertilizer Type]" caption="Fertilizer Type" numFmtId="0" hierarchy="12" level="1">
      <sharedItems count="5">
        <s v="Compost"/>
        <s v="DAP"/>
        <s v="NPK"/>
        <s v="Urea"/>
        <s v="Vermicompost"/>
      </sharedItems>
    </cacheField>
    <cacheField name="[Table1_2].[State].[State]" caption="State" numFmtId="0" hierarchy="4" level="1">
      <sharedItems containsSemiMixedTypes="0" containsNonDate="0" containsString="0"/>
    </cacheField>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2"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2"/>
      </fieldsUsage>
    </cacheHierarchy>
    <cacheHierarchy uniqueName="[Table1_2].[District]" caption="District" attribute="1" defaultMemberUniqueName="[Table1_2].[District].[All]" allUniqueName="[Table1_2].[District].[All]" dimensionUniqueName="[Table1_2]" displayFolder="" count="2" memberValueDatatype="130" unbalanced="0"/>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2" memberValueDatatype="130" unbalanced="0"/>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cacheHierarchy uniqueName="[Table1_2].[Fertilizer Type]" caption="Fertilizer Type" attribute="1" defaultMemberUniqueName="[Table1_2].[Fertilizer Type].[All]" allUniqueName="[Table1_2].[Fertilizer Type].[All]" dimensionUniqueName="[Table1_2]" displayFolder="" count="2" memberValueDatatype="130" unbalanced="0">
      <fieldsUsage count="2">
        <fieldUsage x="-1"/>
        <fieldUsage x="1"/>
      </fieldsUsage>
    </cacheHierarchy>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0" memberValueDatatype="130" unbalanced="0"/>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hidden="1">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hidden="1">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69444448" backgroundQuery="1" createdVersion="8" refreshedVersion="8" minRefreshableVersion="3" recordCount="0" supportSubquery="1" supportAdvancedDrill="1" xr:uid="{27D74B16-5281-4418-B6D6-29AE0BE6DA2F}">
  <cacheSource type="external" connectionId="2"/>
  <cacheFields count="3">
    <cacheField name="[Measures].[Sum of Yield (Kg/Ha)]" caption="Sum of Yield (Kg/Ha)" numFmtId="0" hierarchy="22" level="32767"/>
    <cacheField name="[Table1_2].[District].[District]" caption="District" numFmtId="0" hierarchy="5" level="1">
      <sharedItems count="21">
        <s v="Amritsar"/>
        <s v="Bangalore"/>
        <s v="Bhagalpur"/>
        <s v="Darjeeling"/>
        <s v="Faridabad"/>
        <s v="Gaya"/>
        <s v="Gurgaon"/>
        <s v="Hisar"/>
        <s v="Howrah"/>
        <s v="Hubli"/>
        <s v="Kanpur"/>
        <s v="Kolkata"/>
        <s v="Lucknow"/>
        <s v="Ludhiana"/>
        <s v="Mumbai"/>
        <s v="Mysore"/>
        <s v="Nagpur"/>
        <s v="Patiala"/>
        <s v="Patna"/>
        <s v="Pune"/>
        <s v="Varanasi"/>
      </sharedItems>
    </cacheField>
    <cacheField name="[Table1_2].[State].[State]" caption="State" numFmtId="0" hierarchy="4" level="1">
      <sharedItems count="7">
        <s v="Punjab"/>
        <s v="Karnataka"/>
        <s v="Bihar"/>
        <s v="West Bengal"/>
        <s v="Haryana"/>
        <s v="Uttar Pradesh"/>
        <s v="Maharashtra"/>
      </sharedItems>
    </cacheField>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2"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2"/>
      </fieldsUsage>
    </cacheHierarchy>
    <cacheHierarchy uniqueName="[Table1_2].[District]" caption="District" attribute="1" defaultMemberUniqueName="[Table1_2].[District].[All]" allUniqueName="[Table1_2].[District].[All]" dimensionUniqueName="[Table1_2]" displayFolder="" count="2" memberValueDatatype="130" unbalanced="0">
      <fieldsUsage count="2">
        <fieldUsage x="-1"/>
        <fieldUsage x="1"/>
      </fieldsUsage>
    </cacheHierarchy>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2" memberValueDatatype="130" unbalanced="0"/>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cacheHierarchy uniqueName="[Table1_2].[Fertilizer Type]" caption="Fertilizer Type" attribute="1" defaultMemberUniqueName="[Table1_2].[Fertilizer Type].[All]" allUniqueName="[Table1_2].[Fertilizer Type].[All]" dimensionUniqueName="[Table1_2]" displayFolder="" count="2" memberValueDatatype="130" unbalanced="0"/>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0" memberValueDatatype="130" unbalanced="0"/>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hidden="1">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hidden="1">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6990741" backgroundQuery="1" createdVersion="8" refreshedVersion="8" minRefreshableVersion="3" recordCount="0" supportSubquery="1" supportAdvancedDrill="1" xr:uid="{864E5F56-399A-47AA-8854-B2C2495CBCBA}">
  <cacheSource type="external" connectionId="2"/>
  <cacheFields count="2">
    <cacheField name="[Table1_2].[State].[State]" caption="State" numFmtId="0" hierarchy="4" level="1">
      <sharedItems count="7">
        <s v="Bihar"/>
        <s v="Haryana"/>
        <s v="Karnataka"/>
        <s v="Maharashtra"/>
        <s v="Punjab"/>
        <s v="Uttar Pradesh"/>
        <s v="West Bengal"/>
      </sharedItems>
    </cacheField>
    <cacheField name="[Measures].[Sum of Yield (Kg/Ha)]" caption="Sum of Yield (Kg/Ha)" numFmtId="0" hierarchy="22" level="32767"/>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2"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0"/>
      </fieldsUsage>
    </cacheHierarchy>
    <cacheHierarchy uniqueName="[Table1_2].[District]" caption="District" attribute="1" defaultMemberUniqueName="[Table1_2].[District].[All]" allUniqueName="[Table1_2].[District].[All]" dimensionUniqueName="[Table1_2]" displayFolder="" count="2" memberValueDatatype="130" unbalanced="0"/>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2" memberValueDatatype="130" unbalanced="0"/>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cacheHierarchy uniqueName="[Table1_2].[Fertilizer Type]" caption="Fertilizer Type" attribute="1" defaultMemberUniqueName="[Table1_2].[Fertilizer Type].[All]" allUniqueName="[Table1_2].[Fertilizer Type].[All]" dimensionUniqueName="[Table1_2]" displayFolder="" count="2" memberValueDatatype="130" unbalanced="0"/>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0" memberValueDatatype="130" unbalanced="0"/>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hidden="1">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hidden="1">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70370371" backgroundQuery="1" createdVersion="8" refreshedVersion="8" minRefreshableVersion="3" recordCount="0" supportSubquery="1" supportAdvancedDrill="1" xr:uid="{55F8F113-9804-4477-B7CB-5B4D1AD6228D}">
  <cacheSource type="external" connectionId="2"/>
  <cacheFields count="3">
    <cacheField name="[Measures].[Sum of Rainfall (mm)]" caption="Sum of Rainfall (mm)" numFmtId="0" hierarchy="24" level="32767"/>
    <cacheField name="[Measures].[Sum of Yield (Kg/Ha)]" caption="Sum of Yield (Kg/Ha)" numFmtId="0" hierarchy="22" level="32767"/>
    <cacheField name="[Table1_2].[State].[State]" caption="State" numFmtId="0" hierarchy="4" level="1">
      <sharedItems containsSemiMixedTypes="0" containsNonDate="0" containsString="0"/>
    </cacheField>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2"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2"/>
      </fieldsUsage>
    </cacheHierarchy>
    <cacheHierarchy uniqueName="[Table1_2].[District]" caption="District" attribute="1" defaultMemberUniqueName="[Table1_2].[District].[All]" allUniqueName="[Table1_2].[District].[All]" dimensionUniqueName="[Table1_2]" displayFolder="" count="2" memberValueDatatype="130" unbalanced="0"/>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2" memberValueDatatype="130" unbalanced="0"/>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cacheHierarchy uniqueName="[Table1_2].[Fertilizer Type]" caption="Fertilizer Type" attribute="1" defaultMemberUniqueName="[Table1_2].[Fertilizer Type].[All]" allUniqueName="[Table1_2].[Fertilizer Type].[All]" dimensionUniqueName="[Table1_2]" displayFolder="" count="2" memberValueDatatype="130" unbalanced="0"/>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0" memberValueDatatype="130" unbalanced="0"/>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hidden="1">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hidden="1">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70717595" backgroundQuery="1" createdVersion="8" refreshedVersion="8" minRefreshableVersion="3" recordCount="0" supportSubquery="1" supportAdvancedDrill="1" xr:uid="{762DDDCE-1B65-4F85-849F-853B4F9F0C43}">
  <cacheSource type="external" connectionId="2"/>
  <cacheFields count="3">
    <cacheField name="[Measures].[Sum of Yield (Kg/Ha)]" caption="Sum of Yield (Kg/Ha)" numFmtId="0" hierarchy="22" level="32767"/>
    <cacheField name="[Table1_2].[Season].[Season]" caption="Season" numFmtId="0" hierarchy="6" level="1">
      <sharedItems count="3">
        <s v="Kharif"/>
        <s v="Rabi"/>
        <s v="Zaid"/>
      </sharedItems>
    </cacheField>
    <cacheField name="[Table1_2].[State].[State]" caption="State" numFmtId="0" hierarchy="4" level="1">
      <sharedItems containsSemiMixedTypes="0" containsNonDate="0" containsString="0"/>
    </cacheField>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2"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2"/>
      </fieldsUsage>
    </cacheHierarchy>
    <cacheHierarchy uniqueName="[Table1_2].[District]" caption="District" attribute="1" defaultMemberUniqueName="[Table1_2].[District].[All]" allUniqueName="[Table1_2].[District].[All]" dimensionUniqueName="[Table1_2]" displayFolder="" count="2" memberValueDatatype="130" unbalanced="0"/>
    <cacheHierarchy uniqueName="[Table1_2].[Season]" caption="Season" attribute="1" defaultMemberUniqueName="[Table1_2].[Season].[All]" allUniqueName="[Table1_2].[Season].[All]" dimensionUniqueName="[Table1_2]" displayFolder="" count="2" memberValueDatatype="130" unbalanced="0">
      <fieldsUsage count="2">
        <fieldUsage x="-1"/>
        <fieldUsage x="1"/>
      </fieldsUsage>
    </cacheHierarchy>
    <cacheHierarchy uniqueName="[Table1_2].[Crop Name]" caption="Crop Name" attribute="1" defaultMemberUniqueName="[Table1_2].[Crop Name].[All]" allUniqueName="[Table1_2].[Crop Name].[All]" dimensionUniqueName="[Table1_2]" displayFolder="" count="2" memberValueDatatype="130" unbalanced="0"/>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cacheHierarchy uniqueName="[Table1_2].[Fertilizer Type]" caption="Fertilizer Type" attribute="1" defaultMemberUniqueName="[Table1_2].[Fertilizer Type].[All]" allUniqueName="[Table1_2].[Fertilizer Type].[All]" dimensionUniqueName="[Table1_2]" displayFolder="" count="2" memberValueDatatype="130" unbalanced="0"/>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0" memberValueDatatype="130" unbalanced="0"/>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hidden="1">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hidden="1">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93271064818" backgroundQuery="1" createdVersion="8" refreshedVersion="8" minRefreshableVersion="3" recordCount="0" supportSubquery="1" supportAdvancedDrill="1" xr:uid="{60FAC81F-7A12-41AB-BF77-76A081AB6071}">
  <cacheSource type="external" connectionId="2"/>
  <cacheFields count="5">
    <cacheField name="[Measures].[Sum of Area (Hectares)]" caption="Sum of Area (Hectares)" numFmtId="0" hierarchy="26" level="32767"/>
    <cacheField name="[Table1_2].[Crop Name].[Crop Name]" caption="Crop Name" numFmtId="0" hierarchy="7" level="1">
      <sharedItems count="6">
        <s v="Cotton"/>
        <s v="Maize"/>
        <s v="Pulses"/>
        <s v="Rice"/>
        <s v="Sugarcane"/>
        <s v="Wheat"/>
      </sharedItems>
    </cacheField>
    <cacheField name="[Table1_2].[Soil Type].[Soil Type]" caption="Soil Type" numFmtId="0" hierarchy="15" level="1">
      <sharedItems count="5">
        <s v="Alluvial"/>
        <s v="Black"/>
        <s v="Laterite"/>
        <s v="Red"/>
        <s v="Sandy"/>
      </sharedItems>
    </cacheField>
    <cacheField name="[Measures].[Sum of Temperature (Celsius)]" caption="Sum of Temperature (Celsius)" numFmtId="0" hierarchy="25" level="32767"/>
    <cacheField name="[Table1_2].[State].[State]" caption="State" numFmtId="0" hierarchy="4" level="1">
      <sharedItems containsSemiMixedTypes="0" containsNonDate="0" containsString="0"/>
    </cacheField>
  </cacheFields>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2"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fieldsUsage count="2">
        <fieldUsage x="-1"/>
        <fieldUsage x="4"/>
      </fieldsUsage>
    </cacheHierarchy>
    <cacheHierarchy uniqueName="[Table1_2].[District]" caption="District" attribute="1" defaultMemberUniqueName="[Table1_2].[District].[All]" allUniqueName="[Table1_2].[District].[All]" dimensionUniqueName="[Table1_2]" displayFolder="" count="0" memberValueDatatype="130" unbalanced="0"/>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2" memberValueDatatype="130" unbalanced="0">
      <fieldsUsage count="2">
        <fieldUsage x="-1"/>
        <fieldUsage x="1"/>
      </fieldsUsage>
    </cacheHierarchy>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cacheHierarchy uniqueName="[Table1_2].[Fertilizer Type]" caption="Fertilizer Type" attribute="1" defaultMemberUniqueName="[Table1_2].[Fertilizer Type].[All]" allUniqueName="[Table1_2].[Fertilizer Type].[All]" dimensionUniqueName="[Table1_2]" displayFolder="" count="2" memberValueDatatype="130" unbalanced="0"/>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2" memberValueDatatype="130" unbalanced="0">
      <fieldsUsage count="2">
        <fieldUsage x="-1"/>
        <fieldUsage x="2"/>
      </fieldsUsage>
    </cacheHierarchy>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hidden="1">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hidden="1">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Kothapelli" refreshedDate="46270.621338657409" backgroundQuery="1" createdVersion="3" refreshedVersion="8" minRefreshableVersion="3" recordCount="0" supportSubquery="1" supportAdvancedDrill="1" xr:uid="{3B81E34D-A884-47DD-A243-B7EB652B033F}">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Table1_2].[Crop ID]" caption="Crop ID" attribute="1" defaultMemberUniqueName="[Table1_2].[Crop ID].[All]" allUniqueName="[Table1_2].[Crop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Year_MM]" caption="Year_MM" attribute="1" defaultMemberUniqueName="[Table1_2].[Year_MM].[All]" allUniqueName="[Table1_2].[Year_MM].[All]" dimensionUniqueName="[Table1_2]" displayFolder="" count="2" memberValueDatatype="130" unbalanced="0"/>
    <cacheHierarchy uniqueName="[Table1_2].[Year]" caption="Year" attribute="1" defaultMemberUniqueName="[Table1_2].[Year].[All]" allUniqueName="[Table1_2].[Year].[All]" dimensionUniqueName="[Table1_2]" displayFolder="" count="0" memberValueDatatype="20" unbalanced="0"/>
    <cacheHierarchy uniqueName="[Table1_2].[State]" caption="State" attribute="1" defaultMemberUniqueName="[Table1_2].[State].[All]" allUniqueName="[Table1_2].[State].[All]" dimensionUniqueName="[Table1_2]" displayFolder="" count="2" memberValueDatatype="130" unbalanced="0"/>
    <cacheHierarchy uniqueName="[Table1_2].[District]" caption="District" attribute="1" defaultMemberUniqueName="[Table1_2].[District].[All]" allUniqueName="[Table1_2].[District].[All]" dimensionUniqueName="[Table1_2]" displayFolder="" count="2" memberValueDatatype="130" unbalanced="0"/>
    <cacheHierarchy uniqueName="[Table1_2].[Season]" caption="Season" attribute="1" defaultMemberUniqueName="[Table1_2].[Season].[All]" allUniqueName="[Table1_2].[Season].[All]" dimensionUniqueName="[Table1_2]" displayFolder="" count="0" memberValueDatatype="130" unbalanced="0"/>
    <cacheHierarchy uniqueName="[Table1_2].[Crop Name]" caption="Crop Name" attribute="1" defaultMemberUniqueName="[Table1_2].[Crop Name].[All]" allUniqueName="[Table1_2].[Crop Name].[All]" dimensionUniqueName="[Table1_2]" displayFolder="" count="2" memberValueDatatype="130" unbalanced="0"/>
    <cacheHierarchy uniqueName="[Table1_2].[Area (Hectares)]" caption="Area (Hectares)" attribute="1" defaultMemberUniqueName="[Table1_2].[Area (Hectares)].[All]" allUniqueName="[Table1_2].[Area (Hectares)].[All]" dimensionUniqueName="[Table1_2]" displayFolder="" count="0" memberValueDatatype="5" unbalanced="0"/>
    <cacheHierarchy uniqueName="[Table1_2].[Production (Tonnes)]" caption="Production (Tonnes)" attribute="1" defaultMemberUniqueName="[Table1_2].[Production (Tonnes)].[All]" allUniqueName="[Table1_2].[Production (Tonnes)].[All]" dimensionUniqueName="[Table1_2]" displayFolder="" count="0" memberValueDatatype="5" unbalanced="0"/>
    <cacheHierarchy uniqueName="[Table1_2].[Yield (Kg/Ha)]" caption="Yield (Kg/Ha)" attribute="1" defaultMemberUniqueName="[Table1_2].[Yield (Kg/Ha)].[All]" allUniqueName="[Table1_2].[Yield (Kg/Ha)].[All]" dimensionUniqueName="[Table1_2]" displayFolder="" count="0" memberValueDatatype="5" unbalanced="0"/>
    <cacheHierarchy uniqueName="[Table1_2].[Irrigation Type]" caption="Irrigation Type" attribute="1" defaultMemberUniqueName="[Table1_2].[Irrigation Type].[All]" allUniqueName="[Table1_2].[Irrigation Type].[All]" dimensionUniqueName="[Table1_2]" displayFolder="" count="2" memberValueDatatype="130" unbalanced="0"/>
    <cacheHierarchy uniqueName="[Table1_2].[Fertilizer Type]" caption="Fertilizer Type" attribute="1" defaultMemberUniqueName="[Table1_2].[Fertilizer Type].[All]" allUniqueName="[Table1_2].[Fertilizer Type].[All]" dimensionUniqueName="[Table1_2]" displayFolder="" count="2" memberValueDatatype="130" unbalanced="0"/>
    <cacheHierarchy uniqueName="[Table1_2].[Fertilizer Used (Kg)]" caption="Fertilizer Used (Kg)" attribute="1" defaultMemberUniqueName="[Table1_2].[Fertilizer Used (Kg)].[All]" allUniqueName="[Table1_2].[Fertilizer Used (Kg)].[All]" dimensionUniqueName="[Table1_2]" displayFolder="" count="0" memberValueDatatype="5" unbalanced="0"/>
    <cacheHierarchy uniqueName="[Table1_2].[Rainfall (mm)]" caption="Rainfall (mm)" attribute="1" defaultMemberUniqueName="[Table1_2].[Rainfall (mm)].[All]" allUniqueName="[Table1_2].[Rainfall (mm)].[All]" dimensionUniqueName="[Table1_2]" displayFolder="" count="0" memberValueDatatype="5" unbalanced="0"/>
    <cacheHierarchy uniqueName="[Table1_2].[Soil Type]" caption="Soil Type" attribute="1" defaultMemberUniqueName="[Table1_2].[Soil Type].[All]" allUniqueName="[Table1_2].[Soil Type].[All]" dimensionUniqueName="[Table1_2]" displayFolder="" count="0" memberValueDatatype="130" unbalanced="0"/>
    <cacheHierarchy uniqueName="[Table1_2].[Temperature (Celsius)]" caption="Temperature (Celsius)" attribute="1" defaultMemberUniqueName="[Table1_2].[Temperature (Celsius)].[All]" allUniqueName="[Table1_2].[Temperature (Celsius)].[All]" dimensionUniqueName="[Table1_2]" displayFolder="" count="0" memberValueDatatype="5" unbalanced="0"/>
    <cacheHierarchy uniqueName="[Table1_2].[Yield per Acre]" caption="Yield per Acre" attribute="1" defaultMemberUniqueName="[Table1_2].[Yield per Acre].[All]" allUniqueName="[Table1_2].[Yield per Acre].[All]" dimensionUniqueName="[Table1_2]" displayFolder="" count="0" memberValueDatatype="5" unbalanced="0"/>
    <cacheHierarchy uniqueName="[Table1_2].[Productivity]" caption="Productivity" attribute="1" defaultMemberUniqueName="[Table1_2].[Productivity].[All]" allUniqueName="[Table1_2].[Productivity].[All]" dimensionUniqueName="[Table1_2]" displayFolder="" count="0" memberValueDatatype="5" unbalanced="0"/>
    <cacheHierarchy uniqueName="[Table1_2].[Efficiency metric]" caption="Efficiency metric" attribute="1" defaultMemberUniqueName="[Table1_2].[Efficiency metric].[All]" allUniqueName="[Table1_2].[Efficiency metric].[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Yield (Kg/Ha)]" caption="Sum of Yield (Kg/Ha)" measure="1" displayFolder="" measureGroup="Table1_2" count="0" hidden="1">
      <extLst>
        <ext xmlns:x15="http://schemas.microsoft.com/office/spreadsheetml/2010/11/main" uri="{B97F6D7D-B522-45F9-BDA1-12C45D357490}">
          <x15:cacheHierarchy aggregatedColumn="10"/>
        </ext>
      </extLst>
    </cacheHierarchy>
    <cacheHierarchy uniqueName="[Measures].[Sum of Yield per Acre]" caption="Sum of Yield per Acre" measure="1" displayFolder="" measureGroup="Table1_2" count="0" hidden="1">
      <extLst>
        <ext xmlns:x15="http://schemas.microsoft.com/office/spreadsheetml/2010/11/main" uri="{B97F6D7D-B522-45F9-BDA1-12C45D357490}">
          <x15:cacheHierarchy aggregatedColumn="17"/>
        </ext>
      </extLst>
    </cacheHierarchy>
    <cacheHierarchy uniqueName="[Measures].[Sum of Rainfall (mm)]" caption="Sum of Rainfall (mm)" measure="1" displayFolder="" measureGroup="Table1_2" count="0" hidden="1">
      <extLst>
        <ext xmlns:x15="http://schemas.microsoft.com/office/spreadsheetml/2010/11/main" uri="{B97F6D7D-B522-45F9-BDA1-12C45D357490}">
          <x15:cacheHierarchy aggregatedColumn="14"/>
        </ext>
      </extLst>
    </cacheHierarchy>
    <cacheHierarchy uniqueName="[Measures].[Sum of Temperature (Celsius)]" caption="Sum of Temperature (Celsius)" measure="1" displayFolder="" measureGroup="Table1_2" count="0" hidden="1">
      <extLst>
        <ext xmlns:x15="http://schemas.microsoft.com/office/spreadsheetml/2010/11/main" uri="{B97F6D7D-B522-45F9-BDA1-12C45D357490}">
          <x15:cacheHierarchy aggregatedColumn="16"/>
        </ext>
      </extLst>
    </cacheHierarchy>
    <cacheHierarchy uniqueName="[Measures].[Sum of Area (Hectares)]" caption="Sum of Area (Hectares)" measure="1" displayFolder="" measureGroup="Table1_2" count="0" hidden="1">
      <extLst>
        <ext xmlns:x15="http://schemas.microsoft.com/office/spreadsheetml/2010/11/main" uri="{B97F6D7D-B522-45F9-BDA1-12C45D357490}">
          <x15:cacheHierarchy aggregatedColumn="8"/>
        </ext>
      </extLst>
    </cacheHierarchy>
    <cacheHierarchy uniqueName="[Measures].[Sum of Fertilizer Used (Kg)]" caption="Sum of Fertilizer Used (Kg)" measure="1" displayFolder="" measureGroup="Table1_2"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9005430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BF72AA-A8CF-49AE-8D41-71D32CF89D05}" name="Rainfall_yield" cacheId="12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1">
  <location ref="J31:K3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ainfall (mm)" fld="0" baseField="0" baseItem="0"/>
    <dataField name="Sum of Yield (Kg/Ha)" fld="1" baseField="0" baseItem="0"/>
  </dataFields>
  <formats count="6">
    <format dxfId="3631">
      <pivotArea type="all" dataOnly="0" outline="0" fieldPosition="0"/>
    </format>
    <format dxfId="3630">
      <pivotArea outline="0" collapsedLevelsAreSubtotals="1" fieldPosition="0"/>
    </format>
    <format dxfId="3629">
      <pivotArea dataOnly="0" labelOnly="1" outline="0" fieldPosition="0">
        <references count="1">
          <reference field="4294967294" count="2">
            <x v="0"/>
            <x v="1"/>
          </reference>
        </references>
      </pivotArea>
    </format>
    <format dxfId="3533">
      <pivotArea type="all" dataOnly="0" outline="0" fieldPosition="0"/>
    </format>
    <format dxfId="3532">
      <pivotArea outline="0" collapsedLevelsAreSubtotals="1" fieldPosition="0"/>
    </format>
    <format dxfId="3531">
      <pivotArea dataOnly="0" labelOnly="1" outline="0" fieldPosition="0">
        <references count="1">
          <reference field="4294967294" count="2">
            <x v="0"/>
            <x v="1"/>
          </reference>
        </references>
      </pivotArea>
    </format>
  </formats>
  <pivotHierarchies count="28">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9C9185-F55A-49A4-A2FC-AC93A9318374}" name="District, Fertilizer Quantity" cacheId="12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1">
  <location ref="B40:C62" firstHeaderRow="1" firstDataRow="1"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Fertilizer Used (Kg)" fld="1" baseField="0" baseItem="0"/>
  </dataFields>
  <formats count="12">
    <format dxfId="3628">
      <pivotArea type="all" dataOnly="0" outline="0" fieldPosition="0"/>
    </format>
    <format dxfId="3627">
      <pivotArea outline="0" collapsedLevelsAreSubtotals="1" fieldPosition="0"/>
    </format>
    <format dxfId="3626">
      <pivotArea field="0" type="button" dataOnly="0" labelOnly="1" outline="0" axis="axisRow" fieldPosition="0"/>
    </format>
    <format dxfId="3625">
      <pivotArea dataOnly="0" labelOnly="1" fieldPosition="0">
        <references count="1">
          <reference field="0" count="0"/>
        </references>
      </pivotArea>
    </format>
    <format dxfId="3624">
      <pivotArea dataOnly="0" labelOnly="1" grandRow="1" outline="0" fieldPosition="0"/>
    </format>
    <format dxfId="3623">
      <pivotArea dataOnly="0" labelOnly="1" outline="0" axis="axisValues" fieldPosition="0"/>
    </format>
    <format dxfId="3530">
      <pivotArea type="all" dataOnly="0" outline="0" fieldPosition="0"/>
    </format>
    <format dxfId="3529">
      <pivotArea outline="0" collapsedLevelsAreSubtotals="1" fieldPosition="0"/>
    </format>
    <format dxfId="3528">
      <pivotArea field="0" type="button" dataOnly="0" labelOnly="1" outline="0" axis="axisRow" fieldPosition="0"/>
    </format>
    <format dxfId="3527">
      <pivotArea dataOnly="0" labelOnly="1" fieldPosition="0">
        <references count="1">
          <reference field="0" count="0"/>
        </references>
      </pivotArea>
    </format>
    <format dxfId="3526">
      <pivotArea dataOnly="0" labelOnly="1" grandRow="1" outline="0" fieldPosition="0"/>
    </format>
    <format dxfId="3525">
      <pivotArea dataOnly="0" labelOnly="1" outline="0" axis="axisValues" fieldPosition="0"/>
    </format>
  </formats>
  <pivotHierarchies count="28">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44C478-3542-44C5-85E7-A7A027B0DA11}" name="Irragationtype Acers" cacheId="9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1">
  <location ref="B34:C3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rea (Hectares)" fld="1" baseField="0" baseItem="0"/>
  </dataFields>
  <formats count="12">
    <format dxfId="3622">
      <pivotArea type="all" dataOnly="0" outline="0" fieldPosition="0"/>
    </format>
    <format dxfId="3621">
      <pivotArea outline="0" collapsedLevelsAreSubtotals="1" fieldPosition="0"/>
    </format>
    <format dxfId="3620">
      <pivotArea field="0" type="button" dataOnly="0" labelOnly="1" outline="0" axis="axisRow" fieldPosition="0"/>
    </format>
    <format dxfId="3619">
      <pivotArea dataOnly="0" labelOnly="1" fieldPosition="0">
        <references count="1">
          <reference field="0" count="0"/>
        </references>
      </pivotArea>
    </format>
    <format dxfId="3618">
      <pivotArea dataOnly="0" labelOnly="1" grandRow="1" outline="0" fieldPosition="0"/>
    </format>
    <format dxfId="3617">
      <pivotArea dataOnly="0" labelOnly="1" outline="0" axis="axisValues" fieldPosition="0"/>
    </format>
    <format dxfId="3524">
      <pivotArea type="all" dataOnly="0" outline="0" fieldPosition="0"/>
    </format>
    <format dxfId="3523">
      <pivotArea outline="0" collapsedLevelsAreSubtotals="1" fieldPosition="0"/>
    </format>
    <format dxfId="3522">
      <pivotArea field="0" type="button" dataOnly="0" labelOnly="1" outline="0" axis="axisRow" fieldPosition="0"/>
    </format>
    <format dxfId="3521">
      <pivotArea dataOnly="0" labelOnly="1" fieldPosition="0">
        <references count="1">
          <reference field="0" count="0"/>
        </references>
      </pivotArea>
    </format>
    <format dxfId="3520">
      <pivotArea dataOnly="0" labelOnly="1" grandRow="1" outline="0" fieldPosition="0"/>
    </format>
    <format dxfId="3519">
      <pivotArea dataOnly="0" labelOnly="1" outline="0" axis="axisValues"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463821-0641-4529-B498-28D1F1BE1CCC}" name="Temperature Suitability vs Yield" cacheId="122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61">
  <location ref="D25:F62" firstHeaderRow="0" firstDataRow="1" firstDataCol="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1"/>
    <field x="2"/>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Fields count="1">
    <field x="-2"/>
  </colFields>
  <colItems count="2">
    <i>
      <x/>
    </i>
    <i i="1">
      <x v="1"/>
    </i>
  </colItems>
  <dataFields count="2">
    <dataField name="Sum of Area (Hectares)" fld="0" baseField="0" baseItem="0"/>
    <dataField name="Sum of Temperature (Celsius)" fld="3" baseField="0" baseItem="0"/>
  </dataFields>
  <formats count="24">
    <format dxfId="3616">
      <pivotArea type="all" dataOnly="0" outline="0" fieldPosition="0"/>
    </format>
    <format dxfId="3615">
      <pivotArea outline="0" collapsedLevelsAreSubtotals="1" fieldPosition="0"/>
    </format>
    <format dxfId="3614">
      <pivotArea field="1" type="button" dataOnly="0" labelOnly="1" outline="0" axis="axisRow" fieldPosition="0"/>
    </format>
    <format dxfId="3613">
      <pivotArea dataOnly="0" labelOnly="1" fieldPosition="0">
        <references count="1">
          <reference field="1" count="0"/>
        </references>
      </pivotArea>
    </format>
    <format dxfId="3612">
      <pivotArea dataOnly="0" labelOnly="1" grandRow="1" outline="0" fieldPosition="0"/>
    </format>
    <format dxfId="3611">
      <pivotArea dataOnly="0" labelOnly="1" fieldPosition="0">
        <references count="2">
          <reference field="1" count="1" selected="0">
            <x v="0"/>
          </reference>
          <reference field="2" count="0"/>
        </references>
      </pivotArea>
    </format>
    <format dxfId="3610">
      <pivotArea dataOnly="0" labelOnly="1" fieldPosition="0">
        <references count="2">
          <reference field="1" count="1" selected="0">
            <x v="1"/>
          </reference>
          <reference field="2" count="0"/>
        </references>
      </pivotArea>
    </format>
    <format dxfId="3609">
      <pivotArea dataOnly="0" labelOnly="1" fieldPosition="0">
        <references count="2">
          <reference field="1" count="1" selected="0">
            <x v="2"/>
          </reference>
          <reference field="2" count="0"/>
        </references>
      </pivotArea>
    </format>
    <format dxfId="3608">
      <pivotArea dataOnly="0" labelOnly="1" fieldPosition="0">
        <references count="2">
          <reference field="1" count="1" selected="0">
            <x v="3"/>
          </reference>
          <reference field="2" count="0"/>
        </references>
      </pivotArea>
    </format>
    <format dxfId="3607">
      <pivotArea dataOnly="0" labelOnly="1" fieldPosition="0">
        <references count="2">
          <reference field="1" count="1" selected="0">
            <x v="4"/>
          </reference>
          <reference field="2" count="0"/>
        </references>
      </pivotArea>
    </format>
    <format dxfId="3606">
      <pivotArea dataOnly="0" labelOnly="1" fieldPosition="0">
        <references count="2">
          <reference field="1" count="1" selected="0">
            <x v="5"/>
          </reference>
          <reference field="2" count="0"/>
        </references>
      </pivotArea>
    </format>
    <format dxfId="3605">
      <pivotArea dataOnly="0" labelOnly="1" outline="0" fieldPosition="0">
        <references count="1">
          <reference field="4294967294" count="2">
            <x v="0"/>
            <x v="1"/>
          </reference>
        </references>
      </pivotArea>
    </format>
    <format dxfId="3518">
      <pivotArea type="all" dataOnly="0" outline="0" fieldPosition="0"/>
    </format>
    <format dxfId="3517">
      <pivotArea outline="0" collapsedLevelsAreSubtotals="1" fieldPosition="0"/>
    </format>
    <format dxfId="3516">
      <pivotArea field="1" type="button" dataOnly="0" labelOnly="1" outline="0" axis="axisRow" fieldPosition="0"/>
    </format>
    <format dxfId="3515">
      <pivotArea dataOnly="0" labelOnly="1" fieldPosition="0">
        <references count="1">
          <reference field="1" count="0"/>
        </references>
      </pivotArea>
    </format>
    <format dxfId="3514">
      <pivotArea dataOnly="0" labelOnly="1" grandRow="1" outline="0" fieldPosition="0"/>
    </format>
    <format dxfId="3513">
      <pivotArea dataOnly="0" labelOnly="1" fieldPosition="0">
        <references count="2">
          <reference field="1" count="1" selected="0">
            <x v="0"/>
          </reference>
          <reference field="2" count="0"/>
        </references>
      </pivotArea>
    </format>
    <format dxfId="3512">
      <pivotArea dataOnly="0" labelOnly="1" fieldPosition="0">
        <references count="2">
          <reference field="1" count="1" selected="0">
            <x v="1"/>
          </reference>
          <reference field="2" count="0"/>
        </references>
      </pivotArea>
    </format>
    <format dxfId="3511">
      <pivotArea dataOnly="0" labelOnly="1" fieldPosition="0">
        <references count="2">
          <reference field="1" count="1" selected="0">
            <x v="2"/>
          </reference>
          <reference field="2" count="0"/>
        </references>
      </pivotArea>
    </format>
    <format dxfId="3510">
      <pivotArea dataOnly="0" labelOnly="1" fieldPosition="0">
        <references count="2">
          <reference field="1" count="1" selected="0">
            <x v="3"/>
          </reference>
          <reference field="2" count="0"/>
        </references>
      </pivotArea>
    </format>
    <format dxfId="3509">
      <pivotArea dataOnly="0" labelOnly="1" fieldPosition="0">
        <references count="2">
          <reference field="1" count="1" selected="0">
            <x v="4"/>
          </reference>
          <reference field="2" count="0"/>
        </references>
      </pivotArea>
    </format>
    <format dxfId="3508">
      <pivotArea dataOnly="0" labelOnly="1" fieldPosition="0">
        <references count="2">
          <reference field="1" count="1" selected="0">
            <x v="5"/>
          </reference>
          <reference field="2" count="0"/>
        </references>
      </pivotArea>
    </format>
    <format dxfId="3507">
      <pivotArea dataOnly="0" labelOnly="1" outline="0" fieldPosition="0">
        <references count="1">
          <reference field="4294967294" count="2">
            <x v="0"/>
            <x v="1"/>
          </reference>
        </references>
      </pivotArea>
    </format>
  </formats>
  <pivotHierarchies count="28">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7E0626-AA2C-44FC-BC69-7C780C7922FF}" name="fertilizer/yieldper acer" cacheId="12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1">
  <location ref="D15:E2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Yield per Acre" fld="0" baseField="0" baseItem="0"/>
  </dataFields>
  <formats count="12">
    <format dxfId="3604">
      <pivotArea type="all" dataOnly="0" outline="0" fieldPosition="0"/>
    </format>
    <format dxfId="3603">
      <pivotArea outline="0" collapsedLevelsAreSubtotals="1" fieldPosition="0"/>
    </format>
    <format dxfId="3602">
      <pivotArea field="1" type="button" dataOnly="0" labelOnly="1" outline="0" axis="axisRow" fieldPosition="0"/>
    </format>
    <format dxfId="3601">
      <pivotArea dataOnly="0" labelOnly="1" fieldPosition="0">
        <references count="1">
          <reference field="1" count="0"/>
        </references>
      </pivotArea>
    </format>
    <format dxfId="3600">
      <pivotArea dataOnly="0" labelOnly="1" grandRow="1" outline="0" fieldPosition="0"/>
    </format>
    <format dxfId="3599">
      <pivotArea dataOnly="0" labelOnly="1" outline="0" axis="axisValues" fieldPosition="0"/>
    </format>
    <format dxfId="3506">
      <pivotArea type="all" dataOnly="0" outline="0" fieldPosition="0"/>
    </format>
    <format dxfId="3505">
      <pivotArea outline="0" collapsedLevelsAreSubtotals="1" fieldPosition="0"/>
    </format>
    <format dxfId="3504">
      <pivotArea field="1" type="button" dataOnly="0" labelOnly="1" outline="0" axis="axisRow" fieldPosition="0"/>
    </format>
    <format dxfId="3503">
      <pivotArea dataOnly="0" labelOnly="1" fieldPosition="0">
        <references count="1">
          <reference field="1" count="0"/>
        </references>
      </pivotArea>
    </format>
    <format dxfId="3502">
      <pivotArea dataOnly="0" labelOnly="1" grandRow="1" outline="0" fieldPosition="0"/>
    </format>
    <format dxfId="3501">
      <pivotArea dataOnly="0" labelOnly="1" outline="0" axis="axisValues" fieldPosition="0"/>
    </format>
  </formats>
  <chartFormats count="4">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C93725-6C81-4EB4-B10F-E4CA032BDC98}" name="irrigation/fertilizer/yieldper acer" cacheId="12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J3:K29" firstHeaderRow="1"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Sum of Yield per Acre" fld="2" baseField="0" baseItem="0"/>
  </dataFields>
  <formats count="22">
    <format dxfId="3598">
      <pivotArea type="all" dataOnly="0" outline="0" fieldPosition="0"/>
    </format>
    <format dxfId="3597">
      <pivotArea outline="0" collapsedLevelsAreSubtotals="1" fieldPosition="0"/>
    </format>
    <format dxfId="3596">
      <pivotArea field="0" type="button" dataOnly="0" labelOnly="1" outline="0" axis="axisRow" fieldPosition="0"/>
    </format>
    <format dxfId="3595">
      <pivotArea dataOnly="0" labelOnly="1" fieldPosition="0">
        <references count="1">
          <reference field="0" count="0"/>
        </references>
      </pivotArea>
    </format>
    <format dxfId="3594">
      <pivotArea dataOnly="0" labelOnly="1" grandRow="1" outline="0" fieldPosition="0"/>
    </format>
    <format dxfId="3593">
      <pivotArea dataOnly="0" labelOnly="1" fieldPosition="0">
        <references count="2">
          <reference field="0" count="1" selected="0">
            <x v="0"/>
          </reference>
          <reference field="1" count="0"/>
        </references>
      </pivotArea>
    </format>
    <format dxfId="3592">
      <pivotArea dataOnly="0" labelOnly="1" fieldPosition="0">
        <references count="2">
          <reference field="0" count="1" selected="0">
            <x v="1"/>
          </reference>
          <reference field="1" count="0"/>
        </references>
      </pivotArea>
    </format>
    <format dxfId="3591">
      <pivotArea dataOnly="0" labelOnly="1" fieldPosition="0">
        <references count="2">
          <reference field="0" count="1" selected="0">
            <x v="2"/>
          </reference>
          <reference field="1" count="0"/>
        </references>
      </pivotArea>
    </format>
    <format dxfId="3590">
      <pivotArea dataOnly="0" labelOnly="1" fieldPosition="0">
        <references count="2">
          <reference field="0" count="1" selected="0">
            <x v="3"/>
          </reference>
          <reference field="1" count="0"/>
        </references>
      </pivotArea>
    </format>
    <format dxfId="3589">
      <pivotArea dataOnly="0" labelOnly="1" fieldPosition="0">
        <references count="2">
          <reference field="0" count="1" selected="0">
            <x v="4"/>
          </reference>
          <reference field="1" count="0"/>
        </references>
      </pivotArea>
    </format>
    <format dxfId="3588">
      <pivotArea dataOnly="0" labelOnly="1" outline="0" axis="axisValues" fieldPosition="0"/>
    </format>
    <format dxfId="3500">
      <pivotArea type="all" dataOnly="0" outline="0" fieldPosition="0"/>
    </format>
    <format dxfId="3499">
      <pivotArea outline="0" collapsedLevelsAreSubtotals="1" fieldPosition="0"/>
    </format>
    <format dxfId="3498">
      <pivotArea field="0" type="button" dataOnly="0" labelOnly="1" outline="0" axis="axisRow" fieldPosition="0"/>
    </format>
    <format dxfId="3497">
      <pivotArea dataOnly="0" labelOnly="1" fieldPosition="0">
        <references count="1">
          <reference field="0" count="0"/>
        </references>
      </pivotArea>
    </format>
    <format dxfId="3496">
      <pivotArea dataOnly="0" labelOnly="1" grandRow="1" outline="0" fieldPosition="0"/>
    </format>
    <format dxfId="3495">
      <pivotArea dataOnly="0" labelOnly="1" fieldPosition="0">
        <references count="2">
          <reference field="0" count="1" selected="0">
            <x v="0"/>
          </reference>
          <reference field="1" count="0"/>
        </references>
      </pivotArea>
    </format>
    <format dxfId="3494">
      <pivotArea dataOnly="0" labelOnly="1" fieldPosition="0">
        <references count="2">
          <reference field="0" count="1" selected="0">
            <x v="1"/>
          </reference>
          <reference field="1" count="0"/>
        </references>
      </pivotArea>
    </format>
    <format dxfId="3493">
      <pivotArea dataOnly="0" labelOnly="1" fieldPosition="0">
        <references count="2">
          <reference field="0" count="1" selected="0">
            <x v="2"/>
          </reference>
          <reference field="1" count="0"/>
        </references>
      </pivotArea>
    </format>
    <format dxfId="3492">
      <pivotArea dataOnly="0" labelOnly="1" fieldPosition="0">
        <references count="2">
          <reference field="0" count="1" selected="0">
            <x v="3"/>
          </reference>
          <reference field="1" count="0"/>
        </references>
      </pivotArea>
    </format>
    <format dxfId="3491">
      <pivotArea dataOnly="0" labelOnly="1" fieldPosition="0">
        <references count="2">
          <reference field="0" count="1" selected="0">
            <x v="4"/>
          </reference>
          <reference field="1" count="0"/>
        </references>
      </pivotArea>
    </format>
    <format dxfId="3490">
      <pivotArea dataOnly="0" labelOnly="1" outline="0" axis="axisValues" fieldPosition="0"/>
    </format>
  </formats>
  <conditionalFormats count="1">
    <conditionalFormat priority="1">
      <pivotAreas count="1">
        <pivotArea fieldPosition="0">
          <references count="2">
            <reference field="0" count="0"/>
            <reference field="1" count="0" defaultSubtotal="1" sumSubtotal="1" countASubtotal="1" avgSubtotal="1" maxSubtotal="1" minSubtotal="1" productSubtotal="1" countSubtotal="1" stdDevSubtotal="1" stdDevPSubtotal="1" varSubtotal="1" varPSubtotal="1"/>
          </references>
        </pivotArea>
      </pivotAreas>
    </conditionalFormat>
  </conditionalFormats>
  <pivotHierarchies count="28">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7287C2-87E2-4B5F-BB03-5BF6ACA56EA0}" name="State/yield" cacheId="12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15:G23"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Yield (Kg/Ha)" fld="1" baseField="0" baseItem="0"/>
  </dataFields>
  <formats count="14">
    <format dxfId="3650">
      <pivotArea collapsedLevelsAreSubtotals="1" fieldPosition="0">
        <references count="1">
          <reference field="0" count="0"/>
        </references>
      </pivotArea>
    </format>
    <format dxfId="3651">
      <pivotArea dataOnly="0" labelOnly="1" fieldPosition="0">
        <references count="1">
          <reference field="0" count="0"/>
        </references>
      </pivotArea>
    </format>
    <format dxfId="3587">
      <pivotArea type="all" dataOnly="0" outline="0" fieldPosition="0"/>
    </format>
    <format dxfId="3586">
      <pivotArea outline="0" collapsedLevelsAreSubtotals="1" fieldPosition="0"/>
    </format>
    <format dxfId="3585">
      <pivotArea field="0" type="button" dataOnly="0" labelOnly="1" outline="0" axis="axisRow" fieldPosition="0"/>
    </format>
    <format dxfId="3584">
      <pivotArea dataOnly="0" labelOnly="1" fieldPosition="0">
        <references count="1">
          <reference field="0" count="0"/>
        </references>
      </pivotArea>
    </format>
    <format dxfId="3583">
      <pivotArea dataOnly="0" labelOnly="1" grandRow="1" outline="0" fieldPosition="0"/>
    </format>
    <format dxfId="3582">
      <pivotArea dataOnly="0" labelOnly="1" outline="0" axis="axisValues" fieldPosition="0"/>
    </format>
    <format dxfId="3489">
      <pivotArea type="all" dataOnly="0" outline="0" fieldPosition="0"/>
    </format>
    <format dxfId="3488">
      <pivotArea outline="0" collapsedLevelsAreSubtotals="1" fieldPosition="0"/>
    </format>
    <format dxfId="3487">
      <pivotArea field="0" type="button" dataOnly="0" labelOnly="1" outline="0" axis="axisRow" fieldPosition="0"/>
    </format>
    <format dxfId="3486">
      <pivotArea dataOnly="0" labelOnly="1" fieldPosition="0">
        <references count="1">
          <reference field="0" count="0"/>
        </references>
      </pivotArea>
    </format>
    <format dxfId="3485">
      <pivotArea dataOnly="0" labelOnly="1" grandRow="1" outline="0" fieldPosition="0"/>
    </format>
    <format dxfId="3484">
      <pivotArea dataOnly="0" labelOnly="1" outline="0" axis="axisValues" fieldPosition="0"/>
    </format>
  </formats>
  <chartFormats count="1">
    <chartFormat chart="18" format="3"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8A3F43-6167-4A75-9AB9-B93DC38F7050}" name="state/district yield" cacheId="12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H6:I49" firstHeaderRow="1" firstDataRow="1" firstDataCol="1"/>
  <pivotFields count="3">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allDrilled="1" subtotalTop="0" showAll="0" dataSourceSort="1" defaultSubtotal="0" defaultAttributeDrillState="1">
      <items count="7">
        <item x="0"/>
        <item x="1"/>
        <item x="2"/>
        <item x="3"/>
        <item x="4"/>
        <item x="5"/>
        <item x="6"/>
      </items>
    </pivotField>
  </pivotFields>
  <rowFields count="2">
    <field x="1"/>
    <field x="2"/>
  </rowFields>
  <rowItems count="43">
    <i>
      <x/>
    </i>
    <i r="1">
      <x/>
    </i>
    <i>
      <x v="1"/>
    </i>
    <i r="1">
      <x v="1"/>
    </i>
    <i>
      <x v="2"/>
    </i>
    <i r="1">
      <x v="2"/>
    </i>
    <i>
      <x v="3"/>
    </i>
    <i r="1">
      <x v="3"/>
    </i>
    <i>
      <x v="4"/>
    </i>
    <i r="1">
      <x v="4"/>
    </i>
    <i>
      <x v="5"/>
    </i>
    <i r="1">
      <x v="2"/>
    </i>
    <i>
      <x v="6"/>
    </i>
    <i r="1">
      <x v="4"/>
    </i>
    <i>
      <x v="7"/>
    </i>
    <i r="1">
      <x v="4"/>
    </i>
    <i>
      <x v="8"/>
    </i>
    <i r="1">
      <x v="3"/>
    </i>
    <i>
      <x v="9"/>
    </i>
    <i r="1">
      <x v="1"/>
    </i>
    <i>
      <x v="10"/>
    </i>
    <i r="1">
      <x v="5"/>
    </i>
    <i>
      <x v="11"/>
    </i>
    <i r="1">
      <x v="3"/>
    </i>
    <i>
      <x v="12"/>
    </i>
    <i r="1">
      <x v="5"/>
    </i>
    <i>
      <x v="13"/>
    </i>
    <i r="1">
      <x/>
    </i>
    <i>
      <x v="14"/>
    </i>
    <i r="1">
      <x v="6"/>
    </i>
    <i>
      <x v="15"/>
    </i>
    <i r="1">
      <x v="1"/>
    </i>
    <i>
      <x v="16"/>
    </i>
    <i r="1">
      <x v="6"/>
    </i>
    <i>
      <x v="17"/>
    </i>
    <i r="1">
      <x/>
    </i>
    <i>
      <x v="18"/>
    </i>
    <i r="1">
      <x v="2"/>
    </i>
    <i>
      <x v="19"/>
    </i>
    <i r="1">
      <x v="6"/>
    </i>
    <i>
      <x v="20"/>
    </i>
    <i r="1">
      <x v="5"/>
    </i>
    <i t="grand">
      <x/>
    </i>
  </rowItems>
  <colItems count="1">
    <i/>
  </colItems>
  <dataFields count="1">
    <dataField name="Sum of Yield (Kg/Ha)" fld="0" baseField="0" baseItem="0"/>
  </dataFields>
  <formats count="54">
    <format dxfId="3581">
      <pivotArea type="all" dataOnly="0" outline="0" fieldPosition="0"/>
    </format>
    <format dxfId="3580">
      <pivotArea outline="0" collapsedLevelsAreSubtotals="1" fieldPosition="0"/>
    </format>
    <format dxfId="3579">
      <pivotArea field="1" type="button" dataOnly="0" labelOnly="1" outline="0" axis="axisRow" fieldPosition="0"/>
    </format>
    <format dxfId="3578">
      <pivotArea dataOnly="0" labelOnly="1" fieldPosition="0">
        <references count="1">
          <reference field="1" count="0"/>
        </references>
      </pivotArea>
    </format>
    <format dxfId="3577">
      <pivotArea dataOnly="0" labelOnly="1" grandRow="1" outline="0" fieldPosition="0"/>
    </format>
    <format dxfId="3576">
      <pivotArea dataOnly="0" labelOnly="1" fieldPosition="0">
        <references count="2">
          <reference field="1" count="1" selected="0">
            <x v="0"/>
          </reference>
          <reference field="2" count="1">
            <x v="0"/>
          </reference>
        </references>
      </pivotArea>
    </format>
    <format dxfId="3575">
      <pivotArea dataOnly="0" labelOnly="1" fieldPosition="0">
        <references count="2">
          <reference field="1" count="1" selected="0">
            <x v="1"/>
          </reference>
          <reference field="2" count="1">
            <x v="1"/>
          </reference>
        </references>
      </pivotArea>
    </format>
    <format dxfId="3574">
      <pivotArea dataOnly="0" labelOnly="1" fieldPosition="0">
        <references count="2">
          <reference field="1" count="1" selected="0">
            <x v="2"/>
          </reference>
          <reference field="2" count="1">
            <x v="2"/>
          </reference>
        </references>
      </pivotArea>
    </format>
    <format dxfId="3573">
      <pivotArea dataOnly="0" labelOnly="1" fieldPosition="0">
        <references count="2">
          <reference field="1" count="1" selected="0">
            <x v="3"/>
          </reference>
          <reference field="2" count="1">
            <x v="3"/>
          </reference>
        </references>
      </pivotArea>
    </format>
    <format dxfId="3572">
      <pivotArea dataOnly="0" labelOnly="1" fieldPosition="0">
        <references count="2">
          <reference field="1" count="1" selected="0">
            <x v="4"/>
          </reference>
          <reference field="2" count="1">
            <x v="4"/>
          </reference>
        </references>
      </pivotArea>
    </format>
    <format dxfId="3571">
      <pivotArea dataOnly="0" labelOnly="1" fieldPosition="0">
        <references count="2">
          <reference field="1" count="1" selected="0">
            <x v="5"/>
          </reference>
          <reference field="2" count="1">
            <x v="2"/>
          </reference>
        </references>
      </pivotArea>
    </format>
    <format dxfId="3570">
      <pivotArea dataOnly="0" labelOnly="1" fieldPosition="0">
        <references count="2">
          <reference field="1" count="1" selected="0">
            <x v="6"/>
          </reference>
          <reference field="2" count="1">
            <x v="4"/>
          </reference>
        </references>
      </pivotArea>
    </format>
    <format dxfId="3569">
      <pivotArea dataOnly="0" labelOnly="1" fieldPosition="0">
        <references count="2">
          <reference field="1" count="1" selected="0">
            <x v="7"/>
          </reference>
          <reference field="2" count="1">
            <x v="4"/>
          </reference>
        </references>
      </pivotArea>
    </format>
    <format dxfId="3568">
      <pivotArea dataOnly="0" labelOnly="1" fieldPosition="0">
        <references count="2">
          <reference field="1" count="1" selected="0">
            <x v="8"/>
          </reference>
          <reference field="2" count="1">
            <x v="3"/>
          </reference>
        </references>
      </pivotArea>
    </format>
    <format dxfId="3567">
      <pivotArea dataOnly="0" labelOnly="1" fieldPosition="0">
        <references count="2">
          <reference field="1" count="1" selected="0">
            <x v="9"/>
          </reference>
          <reference field="2" count="1">
            <x v="1"/>
          </reference>
        </references>
      </pivotArea>
    </format>
    <format dxfId="3566">
      <pivotArea dataOnly="0" labelOnly="1" fieldPosition="0">
        <references count="2">
          <reference field="1" count="1" selected="0">
            <x v="10"/>
          </reference>
          <reference field="2" count="1">
            <x v="5"/>
          </reference>
        </references>
      </pivotArea>
    </format>
    <format dxfId="3565">
      <pivotArea dataOnly="0" labelOnly="1" fieldPosition="0">
        <references count="2">
          <reference field="1" count="1" selected="0">
            <x v="11"/>
          </reference>
          <reference field="2" count="1">
            <x v="3"/>
          </reference>
        </references>
      </pivotArea>
    </format>
    <format dxfId="3564">
      <pivotArea dataOnly="0" labelOnly="1" fieldPosition="0">
        <references count="2">
          <reference field="1" count="1" selected="0">
            <x v="12"/>
          </reference>
          <reference field="2" count="1">
            <x v="5"/>
          </reference>
        </references>
      </pivotArea>
    </format>
    <format dxfId="3563">
      <pivotArea dataOnly="0" labelOnly="1" fieldPosition="0">
        <references count="2">
          <reference field="1" count="1" selected="0">
            <x v="13"/>
          </reference>
          <reference field="2" count="1">
            <x v="0"/>
          </reference>
        </references>
      </pivotArea>
    </format>
    <format dxfId="3562">
      <pivotArea dataOnly="0" labelOnly="1" fieldPosition="0">
        <references count="2">
          <reference field="1" count="1" selected="0">
            <x v="14"/>
          </reference>
          <reference field="2" count="1">
            <x v="6"/>
          </reference>
        </references>
      </pivotArea>
    </format>
    <format dxfId="3561">
      <pivotArea dataOnly="0" labelOnly="1" fieldPosition="0">
        <references count="2">
          <reference field="1" count="1" selected="0">
            <x v="15"/>
          </reference>
          <reference field="2" count="1">
            <x v="1"/>
          </reference>
        </references>
      </pivotArea>
    </format>
    <format dxfId="3560">
      <pivotArea dataOnly="0" labelOnly="1" fieldPosition="0">
        <references count="2">
          <reference field="1" count="1" selected="0">
            <x v="16"/>
          </reference>
          <reference field="2" count="1">
            <x v="6"/>
          </reference>
        </references>
      </pivotArea>
    </format>
    <format dxfId="3559">
      <pivotArea dataOnly="0" labelOnly="1" fieldPosition="0">
        <references count="2">
          <reference field="1" count="1" selected="0">
            <x v="17"/>
          </reference>
          <reference field="2" count="1">
            <x v="0"/>
          </reference>
        </references>
      </pivotArea>
    </format>
    <format dxfId="3558">
      <pivotArea dataOnly="0" labelOnly="1" fieldPosition="0">
        <references count="2">
          <reference field="1" count="1" selected="0">
            <x v="18"/>
          </reference>
          <reference field="2" count="1">
            <x v="2"/>
          </reference>
        </references>
      </pivotArea>
    </format>
    <format dxfId="3557">
      <pivotArea dataOnly="0" labelOnly="1" fieldPosition="0">
        <references count="2">
          <reference field="1" count="1" selected="0">
            <x v="19"/>
          </reference>
          <reference field="2" count="1">
            <x v="6"/>
          </reference>
        </references>
      </pivotArea>
    </format>
    <format dxfId="3556">
      <pivotArea dataOnly="0" labelOnly="1" fieldPosition="0">
        <references count="2">
          <reference field="1" count="1" selected="0">
            <x v="20"/>
          </reference>
          <reference field="2" count="1">
            <x v="5"/>
          </reference>
        </references>
      </pivotArea>
    </format>
    <format dxfId="3555">
      <pivotArea dataOnly="0" labelOnly="1" outline="0" axis="axisValues" fieldPosition="0"/>
    </format>
    <format dxfId="3483">
      <pivotArea type="all" dataOnly="0" outline="0" fieldPosition="0"/>
    </format>
    <format dxfId="3482">
      <pivotArea outline="0" collapsedLevelsAreSubtotals="1" fieldPosition="0"/>
    </format>
    <format dxfId="3481">
      <pivotArea field="1" type="button" dataOnly="0" labelOnly="1" outline="0" axis="axisRow" fieldPosition="0"/>
    </format>
    <format dxfId="3480">
      <pivotArea dataOnly="0" labelOnly="1" fieldPosition="0">
        <references count="1">
          <reference field="1" count="0"/>
        </references>
      </pivotArea>
    </format>
    <format dxfId="3479">
      <pivotArea dataOnly="0" labelOnly="1" grandRow="1" outline="0" fieldPosition="0"/>
    </format>
    <format dxfId="3478">
      <pivotArea dataOnly="0" labelOnly="1" fieldPosition="0">
        <references count="2">
          <reference field="1" count="1" selected="0">
            <x v="0"/>
          </reference>
          <reference field="2" count="1">
            <x v="0"/>
          </reference>
        </references>
      </pivotArea>
    </format>
    <format dxfId="3477">
      <pivotArea dataOnly="0" labelOnly="1" fieldPosition="0">
        <references count="2">
          <reference field="1" count="1" selected="0">
            <x v="1"/>
          </reference>
          <reference field="2" count="1">
            <x v="1"/>
          </reference>
        </references>
      </pivotArea>
    </format>
    <format dxfId="3476">
      <pivotArea dataOnly="0" labelOnly="1" fieldPosition="0">
        <references count="2">
          <reference field="1" count="1" selected="0">
            <x v="2"/>
          </reference>
          <reference field="2" count="1">
            <x v="2"/>
          </reference>
        </references>
      </pivotArea>
    </format>
    <format dxfId="3475">
      <pivotArea dataOnly="0" labelOnly="1" fieldPosition="0">
        <references count="2">
          <reference field="1" count="1" selected="0">
            <x v="3"/>
          </reference>
          <reference field="2" count="1">
            <x v="3"/>
          </reference>
        </references>
      </pivotArea>
    </format>
    <format dxfId="3474">
      <pivotArea dataOnly="0" labelOnly="1" fieldPosition="0">
        <references count="2">
          <reference field="1" count="1" selected="0">
            <x v="4"/>
          </reference>
          <reference field="2" count="1">
            <x v="4"/>
          </reference>
        </references>
      </pivotArea>
    </format>
    <format dxfId="3473">
      <pivotArea dataOnly="0" labelOnly="1" fieldPosition="0">
        <references count="2">
          <reference field="1" count="1" selected="0">
            <x v="5"/>
          </reference>
          <reference field="2" count="1">
            <x v="2"/>
          </reference>
        </references>
      </pivotArea>
    </format>
    <format dxfId="3472">
      <pivotArea dataOnly="0" labelOnly="1" fieldPosition="0">
        <references count="2">
          <reference field="1" count="1" selected="0">
            <x v="6"/>
          </reference>
          <reference field="2" count="1">
            <x v="4"/>
          </reference>
        </references>
      </pivotArea>
    </format>
    <format dxfId="3471">
      <pivotArea dataOnly="0" labelOnly="1" fieldPosition="0">
        <references count="2">
          <reference field="1" count="1" selected="0">
            <x v="7"/>
          </reference>
          <reference field="2" count="1">
            <x v="4"/>
          </reference>
        </references>
      </pivotArea>
    </format>
    <format dxfId="3470">
      <pivotArea dataOnly="0" labelOnly="1" fieldPosition="0">
        <references count="2">
          <reference field="1" count="1" selected="0">
            <x v="8"/>
          </reference>
          <reference field="2" count="1">
            <x v="3"/>
          </reference>
        </references>
      </pivotArea>
    </format>
    <format dxfId="3469">
      <pivotArea dataOnly="0" labelOnly="1" fieldPosition="0">
        <references count="2">
          <reference field="1" count="1" selected="0">
            <x v="9"/>
          </reference>
          <reference field="2" count="1">
            <x v="1"/>
          </reference>
        </references>
      </pivotArea>
    </format>
    <format dxfId="3468">
      <pivotArea dataOnly="0" labelOnly="1" fieldPosition="0">
        <references count="2">
          <reference field="1" count="1" selected="0">
            <x v="10"/>
          </reference>
          <reference field="2" count="1">
            <x v="5"/>
          </reference>
        </references>
      </pivotArea>
    </format>
    <format dxfId="3467">
      <pivotArea dataOnly="0" labelOnly="1" fieldPosition="0">
        <references count="2">
          <reference field="1" count="1" selected="0">
            <x v="11"/>
          </reference>
          <reference field="2" count="1">
            <x v="3"/>
          </reference>
        </references>
      </pivotArea>
    </format>
    <format dxfId="3466">
      <pivotArea dataOnly="0" labelOnly="1" fieldPosition="0">
        <references count="2">
          <reference field="1" count="1" selected="0">
            <x v="12"/>
          </reference>
          <reference field="2" count="1">
            <x v="5"/>
          </reference>
        </references>
      </pivotArea>
    </format>
    <format dxfId="3465">
      <pivotArea dataOnly="0" labelOnly="1" fieldPosition="0">
        <references count="2">
          <reference field="1" count="1" selected="0">
            <x v="13"/>
          </reference>
          <reference field="2" count="1">
            <x v="0"/>
          </reference>
        </references>
      </pivotArea>
    </format>
    <format dxfId="3464">
      <pivotArea dataOnly="0" labelOnly="1" fieldPosition="0">
        <references count="2">
          <reference field="1" count="1" selected="0">
            <x v="14"/>
          </reference>
          <reference field="2" count="1">
            <x v="6"/>
          </reference>
        </references>
      </pivotArea>
    </format>
    <format dxfId="3463">
      <pivotArea dataOnly="0" labelOnly="1" fieldPosition="0">
        <references count="2">
          <reference field="1" count="1" selected="0">
            <x v="15"/>
          </reference>
          <reference field="2" count="1">
            <x v="1"/>
          </reference>
        </references>
      </pivotArea>
    </format>
    <format dxfId="3462">
      <pivotArea dataOnly="0" labelOnly="1" fieldPosition="0">
        <references count="2">
          <reference field="1" count="1" selected="0">
            <x v="16"/>
          </reference>
          <reference field="2" count="1">
            <x v="6"/>
          </reference>
        </references>
      </pivotArea>
    </format>
    <format dxfId="3461">
      <pivotArea dataOnly="0" labelOnly="1" fieldPosition="0">
        <references count="2">
          <reference field="1" count="1" selected="0">
            <x v="17"/>
          </reference>
          <reference field="2" count="1">
            <x v="0"/>
          </reference>
        </references>
      </pivotArea>
    </format>
    <format dxfId="3460">
      <pivotArea dataOnly="0" labelOnly="1" fieldPosition="0">
        <references count="2">
          <reference field="1" count="1" selected="0">
            <x v="18"/>
          </reference>
          <reference field="2" count="1">
            <x v="2"/>
          </reference>
        </references>
      </pivotArea>
    </format>
    <format dxfId="3459">
      <pivotArea dataOnly="0" labelOnly="1" fieldPosition="0">
        <references count="2">
          <reference field="1" count="1" selected="0">
            <x v="19"/>
          </reference>
          <reference field="2" count="1">
            <x v="6"/>
          </reference>
        </references>
      </pivotArea>
    </format>
    <format dxfId="3458">
      <pivotArea dataOnly="0" labelOnly="1" fieldPosition="0">
        <references count="2">
          <reference field="1" count="1" selected="0">
            <x v="20"/>
          </reference>
          <reference field="2" count="1">
            <x v="5"/>
          </reference>
        </references>
      </pivotArea>
    </format>
    <format dxfId="3457">
      <pivotArea dataOnly="0" labelOnly="1" outline="0" axis="axisValues" fieldPosition="0"/>
    </format>
  </formats>
  <chartFormats count="2">
    <chartFormat chart="9"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activeTabTopLevelEntity name="Table2" typ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7B6E63-9135-403B-871F-96F2AA2D135E}" name="croptype" cacheId="1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F6:G1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Yield per Acre" fld="1" baseField="0" baseItem="0"/>
  </dataFields>
  <formats count="12">
    <format dxfId="3554">
      <pivotArea type="all" dataOnly="0" outline="0" fieldPosition="0"/>
    </format>
    <format dxfId="3553">
      <pivotArea outline="0" collapsedLevelsAreSubtotals="1" fieldPosition="0"/>
    </format>
    <format dxfId="3552">
      <pivotArea field="0" type="button" dataOnly="0" labelOnly="1" outline="0" axis="axisRow" fieldPosition="0"/>
    </format>
    <format dxfId="3551">
      <pivotArea dataOnly="0" labelOnly="1" fieldPosition="0">
        <references count="1">
          <reference field="0" count="0"/>
        </references>
      </pivotArea>
    </format>
    <format dxfId="3550">
      <pivotArea dataOnly="0" labelOnly="1" grandRow="1" outline="0" fieldPosition="0"/>
    </format>
    <format dxfId="3549">
      <pivotArea dataOnly="0" labelOnly="1" outline="0" axis="axisValues" fieldPosition="0"/>
    </format>
    <format dxfId="3456">
      <pivotArea type="all" dataOnly="0" outline="0" fieldPosition="0"/>
    </format>
    <format dxfId="3455">
      <pivotArea outline="0" collapsedLevelsAreSubtotals="1" fieldPosition="0"/>
    </format>
    <format dxfId="3454">
      <pivotArea field="0" type="button" dataOnly="0" labelOnly="1" outline="0" axis="axisRow" fieldPosition="0"/>
    </format>
    <format dxfId="3453">
      <pivotArea dataOnly="0" labelOnly="1" fieldPosition="0">
        <references count="1">
          <reference field="0" count="0"/>
        </references>
      </pivotArea>
    </format>
    <format dxfId="3452">
      <pivotArea dataOnly="0" labelOnly="1" grandRow="1" outline="0" fieldPosition="0"/>
    </format>
    <format dxfId="3451">
      <pivotArea dataOnly="0" labelOnly="1" outline="0" axis="axisValues" fieldPosition="0"/>
    </format>
  </formats>
  <chartFormats count="1">
    <chartFormat chart="4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3166F0-C113-4AB6-8B91-4ED8648FD4A5}" name="Crop-wise Yield " cacheId="11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B10:C32"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1"/>
    <field x="2"/>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Yield (Kg/Ha)" fld="0" baseField="0" baseItem="0"/>
  </dataFields>
  <formats count="18">
    <format dxfId="3548">
      <pivotArea type="all" dataOnly="0" outline="0" fieldPosition="0"/>
    </format>
    <format dxfId="3547">
      <pivotArea outline="0" collapsedLevelsAreSubtotals="1" fieldPosition="0"/>
    </format>
    <format dxfId="3546">
      <pivotArea field="1" type="button" dataOnly="0" labelOnly="1" outline="0" axis="axisRow" fieldPosition="0"/>
    </format>
    <format dxfId="3545">
      <pivotArea dataOnly="0" labelOnly="1" fieldPosition="0">
        <references count="1">
          <reference field="1" count="0"/>
        </references>
      </pivotArea>
    </format>
    <format dxfId="3544">
      <pivotArea dataOnly="0" labelOnly="1" grandRow="1" outline="0" fieldPosition="0"/>
    </format>
    <format dxfId="3543">
      <pivotArea dataOnly="0" labelOnly="1" fieldPosition="0">
        <references count="2">
          <reference field="1" count="1" selected="0">
            <x v="0"/>
          </reference>
          <reference field="2" count="0"/>
        </references>
      </pivotArea>
    </format>
    <format dxfId="3542">
      <pivotArea dataOnly="0" labelOnly="1" fieldPosition="0">
        <references count="2">
          <reference field="1" count="1" selected="0">
            <x v="1"/>
          </reference>
          <reference field="2" count="0"/>
        </references>
      </pivotArea>
    </format>
    <format dxfId="3541">
      <pivotArea dataOnly="0" labelOnly="1" fieldPosition="0">
        <references count="2">
          <reference field="1" count="1" selected="0">
            <x v="2"/>
          </reference>
          <reference field="2" count="0"/>
        </references>
      </pivotArea>
    </format>
    <format dxfId="3540">
      <pivotArea dataOnly="0" labelOnly="1" outline="0" axis="axisValues" fieldPosition="0"/>
    </format>
    <format dxfId="3450">
      <pivotArea type="all" dataOnly="0" outline="0" fieldPosition="0"/>
    </format>
    <format dxfId="3449">
      <pivotArea outline="0" collapsedLevelsAreSubtotals="1" fieldPosition="0"/>
    </format>
    <format dxfId="3448">
      <pivotArea field="1" type="button" dataOnly="0" labelOnly="1" outline="0" axis="axisRow" fieldPosition="0"/>
    </format>
    <format dxfId="3447">
      <pivotArea dataOnly="0" labelOnly="1" fieldPosition="0">
        <references count="1">
          <reference field="1" count="0"/>
        </references>
      </pivotArea>
    </format>
    <format dxfId="3446">
      <pivotArea dataOnly="0" labelOnly="1" grandRow="1" outline="0" fieldPosition="0"/>
    </format>
    <format dxfId="3445">
      <pivotArea dataOnly="0" labelOnly="1" fieldPosition="0">
        <references count="2">
          <reference field="1" count="1" selected="0">
            <x v="0"/>
          </reference>
          <reference field="2" count="0"/>
        </references>
      </pivotArea>
    </format>
    <format dxfId="3444">
      <pivotArea dataOnly="0" labelOnly="1" fieldPosition="0">
        <references count="2">
          <reference field="1" count="1" selected="0">
            <x v="1"/>
          </reference>
          <reference field="2" count="0"/>
        </references>
      </pivotArea>
    </format>
    <format dxfId="3443">
      <pivotArea dataOnly="0" labelOnly="1" fieldPosition="0">
        <references count="2">
          <reference field="1" count="1" selected="0">
            <x v="2"/>
          </reference>
          <reference field="2" count="0"/>
        </references>
      </pivotArea>
    </format>
    <format dxfId="3442">
      <pivotArea dataOnly="0" labelOnly="1" outline="0" axis="axisValues" fieldPosition="0"/>
    </format>
  </formats>
  <chartFormats count="7">
    <chartFormat chart="9"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1" count="1" selected="0">
            <x v="2"/>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1" count="1" selected="0">
            <x v="2"/>
          </reference>
        </references>
      </pivotArea>
    </chartFormat>
    <chartFormat chart="4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activeTabTopLevelEntity name="Table1" typ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6D6970-0C0B-4882-A220-1815AAF6CC44}" name="Seasonal Yield " cacheId="1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B3:C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Yield (Kg/Ha)" fld="0" baseField="0" baseItem="0"/>
  </dataFields>
  <formats count="12">
    <format dxfId="3539">
      <pivotArea type="all" dataOnly="0" outline="0" fieldPosition="0"/>
    </format>
    <format dxfId="3538">
      <pivotArea outline="0" collapsedLevelsAreSubtotals="1" fieldPosition="0"/>
    </format>
    <format dxfId="3537">
      <pivotArea field="1" type="button" dataOnly="0" labelOnly="1" outline="0" axis="axisRow" fieldPosition="0"/>
    </format>
    <format dxfId="3536">
      <pivotArea dataOnly="0" labelOnly="1" fieldPosition="0">
        <references count="1">
          <reference field="1" count="0"/>
        </references>
      </pivotArea>
    </format>
    <format dxfId="3535">
      <pivotArea dataOnly="0" labelOnly="1" grandRow="1" outline="0" fieldPosition="0"/>
    </format>
    <format dxfId="3534">
      <pivotArea dataOnly="0" labelOnly="1" outline="0" axis="axisValues" fieldPosition="0"/>
    </format>
    <format dxfId="3441">
      <pivotArea type="all" dataOnly="0" outline="0" fieldPosition="0"/>
    </format>
    <format dxfId="3440">
      <pivotArea outline="0" collapsedLevelsAreSubtotals="1" fieldPosition="0"/>
    </format>
    <format dxfId="3439">
      <pivotArea field="1" type="button" dataOnly="0" labelOnly="1" outline="0" axis="axisRow" fieldPosition="0"/>
    </format>
    <format dxfId="3438">
      <pivotArea dataOnly="0" labelOnly="1" fieldPosition="0">
        <references count="1">
          <reference field="1" count="0"/>
        </references>
      </pivotArea>
    </format>
    <format dxfId="3437">
      <pivotArea dataOnly="0" labelOnly="1" grandRow="1" outline="0" fieldPosition="0"/>
    </format>
    <format dxfId="3436">
      <pivotArea dataOnly="0" labelOnly="1" outline="0" axis="axisValues" fieldPosition="0"/>
    </format>
  </formats>
  <chartFormats count="4">
    <chartFormat chart="9"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695B52-7088-4F2F-870F-6909178D5B8E}" name="PivotTable46" cacheId="11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7:U44" firstHeaderRow="0" firstDataRow="1" firstDataCol="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1"/>
    <field x="2"/>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Fields count="1">
    <field x="-2"/>
  </colFields>
  <colItems count="2">
    <i>
      <x/>
    </i>
    <i i="1">
      <x v="1"/>
    </i>
  </colItems>
  <dataFields count="2">
    <dataField name="Sum of Temperature (Celsius)" fld="0" baseField="0" baseItem="0"/>
    <dataField name="Sum of Area (Hectares)" fld="3" baseField="0" baseItem="0"/>
  </dataFields>
  <pivotHierarchies count="28">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AD83FA-469E-4AF7-BBCC-61CE42F91774}" name="PivotTable21" cacheId="11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Q18:R44" firstHeaderRow="1"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Sum of Yield per Acre" fld="2" baseField="0" baseItem="0"/>
  </dataFields>
  <conditionalFormats count="1">
    <conditionalFormat priority="1">
      <pivotAreas count="1">
        <pivotArea fieldPosition="0">
          <references count="2">
            <reference field="0" count="0"/>
            <reference field="1" count="0" defaultSubtotal="1" sumSubtotal="1" countASubtotal="1" avgSubtotal="1" maxSubtotal="1" minSubtotal="1" productSubtotal="1" countSubtotal="1" stdDevSubtotal="1" stdDevPSubtotal="1" varSubtotal="1" varPSubtotal="1"/>
          </references>
        </pivotArea>
      </pivotAreas>
    </conditionalFormat>
  </conditionalFormats>
  <pivotHierarchies count="28">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Crop_Yield.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7EBFD4A-D319-4A2F-8C77-ADDB0F0838D3}" autoFormatId="16" applyNumberFormats="0" applyBorderFormats="0" applyFontFormats="0" applyPatternFormats="0" applyAlignmentFormats="0" applyWidthHeightFormats="0">
  <queryTableRefresh nextId="23" unboundColumnsRight="3">
    <queryTableFields count="20">
      <queryTableField id="1" name="Crop ID" tableColumnId="1"/>
      <queryTableField id="2" name="Date" tableColumnId="2"/>
      <queryTableField id="19" dataBound="0" tableColumnId="19"/>
      <queryTableField id="3" name="Year" tableColumnId="3"/>
      <queryTableField id="4" name="State" tableColumnId="4"/>
      <queryTableField id="5" name="District" tableColumnId="5"/>
      <queryTableField id="6" name="Season" tableColumnId="6"/>
      <queryTableField id="7" name="Crop Name" tableColumnId="7"/>
      <queryTableField id="8" name="Area (Hectares)" tableColumnId="8"/>
      <queryTableField id="9" name="Production (Tonnes)" tableColumnId="9"/>
      <queryTableField id="10" name="Yield (Kg/Ha)" tableColumnId="10"/>
      <queryTableField id="11" name="Irrigation Type" tableColumnId="11"/>
      <queryTableField id="12" name="Fertilizer Type" tableColumnId="12"/>
      <queryTableField id="13" name="Fertilizer Used (Kg)" tableColumnId="13"/>
      <queryTableField id="14" name="Rainfall (mm)" tableColumnId="14"/>
      <queryTableField id="15" name="Soil Type" tableColumnId="15"/>
      <queryTableField id="16" name="Temperature (Celsius)" tableColumnId="16"/>
      <queryTableField id="20" dataBound="0" tableColumnId="20"/>
      <queryTableField id="21" dataBound="0"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Name1" xr10:uid="{C5C47A44-C40F-4A2A-8BB5-9EACCE7463C5}" sourceName="[Table1_2].[Crop Name]">
  <pivotTables>
    <pivotTable tabId="7" name="fertilizer/yieldper acer"/>
    <pivotTable tabId="7" name="state/district yield"/>
    <pivotTable tabId="7" name="State/yield"/>
    <pivotTable tabId="7" name="Rainfall_yield"/>
    <pivotTable tabId="7" name="Seasonal Yield "/>
    <pivotTable tabId="7" name="Temperature Suitability vs Yield"/>
  </pivotTables>
  <data>
    <olap pivotCacheId="1900543099">
      <levels count="2">
        <level uniqueName="[Table1_2].[Crop Name].[(All)]" sourceCaption="(All)" count="0"/>
        <level uniqueName="[Table1_2].[Crop Name].[Crop Name]" sourceCaption="Crop Name" count="6">
          <ranges>
            <range startItem="0">
              <i n="[Table1_2].[Crop Name].&amp;[Cotton]" c="Cotton"/>
              <i n="[Table1_2].[Crop Name].&amp;[Maize]" c="Maize"/>
              <i n="[Table1_2].[Crop Name].&amp;[Pulses]" c="Pulses"/>
              <i n="[Table1_2].[Crop Name].&amp;[Rice]" c="Rice"/>
              <i n="[Table1_2].[Crop Name].&amp;[Sugarcane]" c="Sugarcane"/>
              <i n="[Table1_2].[Crop Name].&amp;[Wheat]" c="Wheat"/>
            </range>
          </ranges>
        </level>
      </levels>
      <selections count="1">
        <selection n="[Table1_2].[Crop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1" xr10:uid="{2A4051DD-A262-495E-AA77-CF7E835ACE1C}" sourceName="[Table1_2].[District]">
  <pivotTables>
    <pivotTable tabId="8" name="PivotTable21"/>
    <pivotTable tabId="8" name="PivotTable46"/>
    <pivotTable tabId="7" name="croptype"/>
    <pivotTable tabId="7" name="Crop-wise Yield "/>
    <pivotTable tabId="7" name="District, Fertilizer Quantity"/>
    <pivotTable tabId="7" name="irrigation/fertilizer/yieldper acer"/>
    <pivotTable tabId="7" name="fertilizer/yieldper acer"/>
    <pivotTable tabId="7" name="state/district yield"/>
    <pivotTable tabId="7" name="State/yield"/>
    <pivotTable tabId="7" name="Rainfall_yield"/>
    <pivotTable tabId="7" name="Seasonal Yield "/>
  </pivotTables>
  <data>
    <olap pivotCacheId="1900543099">
      <levels count="2">
        <level uniqueName="[Table1_2].[District].[(All)]" sourceCaption="(All)" count="0"/>
        <level uniqueName="[Table1_2].[District].[District]" sourceCaption="District" count="21">
          <ranges>
            <range startItem="0">
              <i n="[Table1_2].[District].&amp;[Amritsar]" c="Amritsar"/>
              <i n="[Table1_2].[District].&amp;[Bangalore]" c="Bangalore"/>
              <i n="[Table1_2].[District].&amp;[Bhagalpur]" c="Bhagalpur"/>
              <i n="[Table1_2].[District].&amp;[Darjeeling]" c="Darjeeling"/>
              <i n="[Table1_2].[District].&amp;[Faridabad]" c="Faridabad"/>
              <i n="[Table1_2].[District].&amp;[Gaya]" c="Gaya"/>
              <i n="[Table1_2].[District].&amp;[Gurgaon]" c="Gurgaon"/>
              <i n="[Table1_2].[District].&amp;[Hisar]" c="Hisar"/>
              <i n="[Table1_2].[District].&amp;[Howrah]" c="Howrah"/>
              <i n="[Table1_2].[District].&amp;[Hubli]" c="Hubli"/>
              <i n="[Table1_2].[District].&amp;[Kanpur]" c="Kanpur"/>
              <i n="[Table1_2].[District].&amp;[Kolkata]" c="Kolkata"/>
              <i n="[Table1_2].[District].&amp;[Lucknow]" c="Lucknow"/>
              <i n="[Table1_2].[District].&amp;[Ludhiana]" c="Ludhiana"/>
              <i n="[Table1_2].[District].&amp;[Mumbai]" c="Mumbai"/>
              <i n="[Table1_2].[District].&amp;[Mysore]" c="Mysore"/>
              <i n="[Table1_2].[District].&amp;[Nagpur]" c="Nagpur"/>
              <i n="[Table1_2].[District].&amp;[Patiala]" c="Patiala"/>
              <i n="[Table1_2].[District].&amp;[Patna]" c="Patna"/>
              <i n="[Table1_2].[District].&amp;[Pune]" c="Pune"/>
              <i n="[Table1_2].[District].&amp;[Varanasi]" c="Varanasi"/>
            </range>
          </ranges>
        </level>
      </levels>
      <selections count="1">
        <selection n="[Table1_2].[Distri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F98F2C60-4F5A-4BC4-B8E8-27AE4986428A}" sourceName="[Table1_2].[State]">
  <pivotTables>
    <pivotTable tabId="8" name="PivotTable21"/>
    <pivotTable tabId="8" name="PivotTable46"/>
    <pivotTable tabId="7" name="croptype"/>
    <pivotTable tabId="7" name="Crop-wise Yield "/>
    <pivotTable tabId="7" name="District, Fertilizer Quantity"/>
    <pivotTable tabId="7" name="irrigation/fertilizer/yieldper acer"/>
    <pivotTable tabId="7" name="fertilizer/yieldper acer"/>
    <pivotTable tabId="7" name="state/district yield"/>
    <pivotTable tabId="7" name="State/yield"/>
    <pivotTable tabId="7" name="Rainfall_yield"/>
    <pivotTable tabId="7" name="Seasonal Yield "/>
    <pivotTable tabId="7" name="Temperature Suitability vs Yield"/>
  </pivotTables>
  <data>
    <olap pivotCacheId="1900543099">
      <levels count="2">
        <level uniqueName="[Table1_2].[State].[(All)]" sourceCaption="(All)" count="0"/>
        <level uniqueName="[Table1_2].[State].[State]" sourceCaption="State" count="7">
          <ranges>
            <range startItem="0">
              <i n="[Table1_2].[State].&amp;[Bihar]" c="Bihar"/>
              <i n="[Table1_2].[State].&amp;[Haryana]" c="Haryana"/>
              <i n="[Table1_2].[State].&amp;[Karnataka]" c="Karnataka"/>
              <i n="[Table1_2].[State].&amp;[Maharashtra]" c="Maharashtra"/>
              <i n="[Table1_2].[State].&amp;[Punjab]" c="Punjab"/>
              <i n="[Table1_2].[State].&amp;[Uttar Pradesh]" c="Uttar Pradesh"/>
              <i n="[Table1_2].[State].&amp;[West Bengal]" c="West Bengal"/>
            </range>
          </ranges>
        </level>
      </levels>
      <selections count="1">
        <selection n="[Table1_2].[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M" xr10:uid="{AA7EA9BA-CE79-4E11-814B-C6C83631ED46}" sourceName="[Table1_2].[Year_MM]">
  <pivotTables>
    <pivotTable tabId="7" name="fertilizer/yieldper acer"/>
    <pivotTable tabId="7" name="state/district yield"/>
    <pivotTable tabId="7" name="State/yield"/>
    <pivotTable tabId="7" name="Rainfall_yield"/>
    <pivotTable tabId="7" name="Seasonal Yield "/>
    <pivotTable tabId="7" name="Temperature Suitability vs Yield"/>
  </pivotTables>
  <data>
    <olap pivotCacheId="1900543099">
      <levels count="2">
        <level uniqueName="[Table1_2].[Year_MM].[(All)]" sourceCaption="(All)" count="0"/>
        <level uniqueName="[Table1_2].[Year_MM].[Year_MM]" sourceCaption="Year_MM" count="1">
          <ranges>
            <range startItem="0">
              <i n="[Table1_2].[Year_MM].&amp;[1905-07]" c="1905-07"/>
            </range>
          </ranges>
        </level>
      </levels>
      <selections count="1">
        <selection n="[Table1_2].[Year_MM].[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rtilizer_Type1" xr10:uid="{1EF3DB4B-7967-4524-A360-AD67F77952F6}" sourceName="[Table1_2].[Fertilizer Type]">
  <pivotTables>
    <pivotTable tabId="8" name="PivotTable21"/>
    <pivotTable tabId="8" name="PivotTable46"/>
    <pivotTable tabId="7" name="croptype"/>
    <pivotTable tabId="7" name="Crop-wise Yield "/>
    <pivotTable tabId="7" name="District, Fertilizer Quantity"/>
    <pivotTable tabId="7" name="irrigation/fertilizer/yieldper acer"/>
    <pivotTable tabId="7" name="fertilizer/yieldper acer"/>
    <pivotTable tabId="7" name="state/district yield"/>
    <pivotTable tabId="7" name="State/yield"/>
    <pivotTable tabId="7" name="Rainfall_yield"/>
    <pivotTable tabId="7" name="Seasonal Yield "/>
  </pivotTables>
  <data>
    <olap pivotCacheId="1900543099">
      <levels count="2">
        <level uniqueName="[Table1_2].[Fertilizer Type].[(All)]" sourceCaption="(All)" count="0"/>
        <level uniqueName="[Table1_2].[Fertilizer Type].[Fertilizer Type]" sourceCaption="Fertilizer Type" count="5">
          <ranges>
            <range startItem="0">
              <i n="[Table1_2].[Fertilizer Type].&amp;[Compost]" c="Compost"/>
              <i n="[Table1_2].[Fertilizer Type].&amp;[DAP]" c="DAP"/>
              <i n="[Table1_2].[Fertilizer Type].&amp;[NPK]" c="NPK"/>
              <i n="[Table1_2].[Fertilizer Type].&amp;[Urea]" c="Urea"/>
              <i n="[Table1_2].[Fertilizer Type].&amp;[Vermicompost]" c="Vermicompost"/>
            </range>
          </ranges>
        </level>
      </levels>
      <selections count="1">
        <selection n="[Table1_2].[Fertilizer 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rrigation_Type1" xr10:uid="{F6E422E5-D46D-4727-894D-6A4BCC647590}" sourceName="[Table1_2].[Irrigation Type]">
  <pivotTables>
    <pivotTable tabId="8" name="PivotTable21"/>
    <pivotTable tabId="8" name="PivotTable46"/>
    <pivotTable tabId="7" name="croptype"/>
    <pivotTable tabId="7" name="Crop-wise Yield "/>
    <pivotTable tabId="7" name="District, Fertilizer Quantity"/>
    <pivotTable tabId="7" name="Irragationtype Acers"/>
    <pivotTable tabId="7" name="irrigation/fertilizer/yieldper acer"/>
    <pivotTable tabId="7" name="fertilizer/yieldper acer"/>
    <pivotTable tabId="7" name="state/district yield"/>
    <pivotTable tabId="7" name="State/yield"/>
    <pivotTable tabId="7" name="Rainfall_yield"/>
    <pivotTable tabId="7" name="Seasonal Yield "/>
    <pivotTable tabId="7" name="Temperature Suitability vs Yield"/>
  </pivotTables>
  <data>
    <olap pivotCacheId="1900543099">
      <levels count="2">
        <level uniqueName="[Table1_2].[Irrigation Type].[(All)]" sourceCaption="(All)" count="0"/>
        <level uniqueName="[Table1_2].[Irrigation Type].[Irrigation Type]" sourceCaption="Irrigation Type" count="4">
          <ranges>
            <range startItem="0">
              <i n="[Table1_2].[Irrigation Type].&amp;[Borewell]" c="Borewell"/>
              <i n="[Table1_2].[Irrigation Type].&amp;[Canal]" c="Canal"/>
              <i n="[Table1_2].[Irrigation Type].&amp;[Drip]" c="Drip"/>
              <i n="[Table1_2].[Irrigation Type].&amp;[Rainfed]" c="Rainfed"/>
            </range>
          </ranges>
        </level>
      </levels>
      <selections count="1">
        <selection n="[Table1_2].[Irrigation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Name 1" xr10:uid="{24B502DA-FA8E-4522-BA0C-2C7A0AA0921A}" cache="Slicer_Crop_Name1" caption="Crop Name" level="1" rowHeight="234950"/>
  <slicer name="District 1" xr10:uid="{1C4C3741-FA88-46BF-B377-DC60C414C12E}" cache="Slicer_District1" caption="District" level="1" rowHeight="234950"/>
  <slicer name="State 1" xr10:uid="{03CC0906-EAD8-40FB-B846-DFABA20880EC}" cache="Slicer_State1" caption="State" level="1" rowHeight="234950"/>
  <slicer name="Year_MM" xr10:uid="{EF0D6F3C-9E1B-4A13-921F-FC63DFB1C40E}" cache="Slicer_Year_MM" caption="Year_MM" level="1" rowHeight="234950"/>
  <slicer name="Fertilizer Type 1" xr10:uid="{D2416478-AC6A-44FC-9CF1-EFA54863032D}" cache="Slicer_Fertilizer_Type1" caption="Fertilizer Type" level="1" rowHeight="234950"/>
  <slicer name="Irrigation Type 1" xr10:uid="{C8C429E8-9A10-4CD7-B0FC-4F81B496523F}" cache="Slicer_Irrigation_Type1" caption="Irrigation Typ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3B9374-5F9D-4D5F-A2F7-122401546254}" name="Table1_2" displayName="Table1_2" ref="A1:T501" tableType="queryTable" totalsRowShown="0" headerRowDxfId="3673" dataDxfId="3654">
  <tableColumns count="20">
    <tableColumn id="1" xr3:uid="{14326269-2F3C-4464-ABB6-76E6F95DB329}" uniqueName="1" name="Crop ID" queryTableFieldId="1" dataDxfId="3672"/>
    <tableColumn id="2" xr3:uid="{428DE8AC-D020-4569-9038-C3306B4BB869}" uniqueName="2" name="Date" queryTableFieldId="2" dataDxfId="3671"/>
    <tableColumn id="19" xr3:uid="{2EBF8277-6C56-49D2-9F3C-65FC24539B40}" uniqueName="19" name="Year_MM" queryTableFieldId="19" dataDxfId="3670">
      <calculatedColumnFormula>TEXT(B2,"YYYY-MM")</calculatedColumnFormula>
    </tableColumn>
    <tableColumn id="3" xr3:uid="{5C2CDA69-5051-422C-8700-54D17673BDE8}" uniqueName="3" name="Year" queryTableFieldId="3" dataDxfId="3669"/>
    <tableColumn id="4" xr3:uid="{82193F31-3AFA-411A-8FA3-5A543E51AFBA}" uniqueName="4" name="State" queryTableFieldId="4" dataDxfId="3668"/>
    <tableColumn id="5" xr3:uid="{1A0B1930-96A0-4D0D-AD76-274EBDB3D90E}" uniqueName="5" name="District" queryTableFieldId="5" dataDxfId="3667"/>
    <tableColumn id="6" xr3:uid="{C7A02A66-423A-41E7-9D5C-8AA9B13D3198}" uniqueName="6" name="Season" queryTableFieldId="6" dataDxfId="3666"/>
    <tableColumn id="7" xr3:uid="{2B1F3E25-4294-4A6D-B3F0-D2D5C7D2C839}" uniqueName="7" name="Crop Name" queryTableFieldId="7" dataDxfId="3665"/>
    <tableColumn id="8" xr3:uid="{E8D06354-D059-4291-A49D-3B43F67C0A5E}" uniqueName="8" name="Area (Hectares)" queryTableFieldId="8" dataDxfId="3664"/>
    <tableColumn id="9" xr3:uid="{AEBA6542-2B17-4128-9D77-135C9298F8EC}" uniqueName="9" name="Production (Tonnes)" queryTableFieldId="9" dataDxfId="3663"/>
    <tableColumn id="10" xr3:uid="{6FAD7AA8-36A4-4424-B638-356340E5D75E}" uniqueName="10" name="Yield (Kg/Ha)" queryTableFieldId="10" dataDxfId="3662"/>
    <tableColumn id="11" xr3:uid="{D466B368-4304-42CE-B998-E0DC428D4BA9}" uniqueName="11" name="Irrigation Type" queryTableFieldId="11" dataDxfId="3661"/>
    <tableColumn id="12" xr3:uid="{E005FEA5-1862-48E1-91C5-96E19C8D5CC9}" uniqueName="12" name="Fertilizer Type" queryTableFieldId="12" dataDxfId="3660"/>
    <tableColumn id="13" xr3:uid="{7484092F-C8E1-45D9-BA29-03B8F6883FF0}" uniqueName="13" name="Fertilizer Used (Kg)" queryTableFieldId="13" dataDxfId="3659"/>
    <tableColumn id="14" xr3:uid="{91BD160E-4D29-4E67-9F32-5502A47C21A9}" uniqueName="14" name="Rainfall (mm)" queryTableFieldId="14" dataDxfId="3658"/>
    <tableColumn id="15" xr3:uid="{AFEDD21F-4432-44C9-8D6E-8855C1E43E95}" uniqueName="15" name="Soil Type" queryTableFieldId="15" dataDxfId="3657"/>
    <tableColumn id="16" xr3:uid="{20D486A4-285D-4543-9819-01AE9495C3CE}" uniqueName="16" name="Temperature (Celsius)" queryTableFieldId="16" dataDxfId="3656"/>
    <tableColumn id="20" xr3:uid="{85C1E489-61F0-49A4-A079-2931464DFFAD}" uniqueName="20" name="Yield per Acre" queryTableFieldId="20" dataDxfId="3655">
      <calculatedColumnFormula xml:space="preserve"> Table1_2[[#This Row],[Yield (Kg/Ha)]]/Table1_2[[#This Row],[Area (Hectares)]]</calculatedColumnFormula>
    </tableColumn>
    <tableColumn id="21" xr3:uid="{D87DDFF4-0C4C-48F0-96D9-02F9A32359F8}" uniqueName="21" name="Productivity" queryTableFieldId="21" dataDxfId="3653">
      <calculatedColumnFormula>Table1_2[[#This Row],[Yield per Acre]]/Table1_2[[#This Row],[Yield (Kg/Ha)]]</calculatedColumnFormula>
    </tableColumn>
    <tableColumn id="22" xr3:uid="{783C1E43-9C3D-4E34-AED5-47E899C149C5}" uniqueName="22" name="Efficiency metric" queryTableFieldId="22" dataDxfId="3652">
      <calculatedColumnFormula>Table1_2[[#This Row],[Yield per Acre]]/N2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A74605-586F-41CC-98B8-54BE12B79C2F}" name="Table1" displayName="Table1" ref="A1:P501" totalsRowShown="0" headerRowDxfId="3633" dataDxfId="3632" headerRowBorderDxfId="3675" tableBorderDxfId="3676" totalsRowBorderDxfId="3674">
  <autoFilter ref="A1:P501" xr:uid="{BCA74605-586F-41CC-98B8-54BE12B79C2F}"/>
  <tableColumns count="16">
    <tableColumn id="1" xr3:uid="{EA8EBE8D-D5BB-4B70-A5DF-A10DB5FF59AB}" name="Crop ID" dataDxfId="3649"/>
    <tableColumn id="2" xr3:uid="{ADD2C92C-167B-402B-AADA-5BF0D97096A1}" name="Date" dataDxfId="3648"/>
    <tableColumn id="3" xr3:uid="{79F558D0-A74B-44BF-A906-5E72D69E76B8}" name="Year" dataDxfId="3647"/>
    <tableColumn id="4" xr3:uid="{01196D4E-06B5-430C-8A5E-21CA214885E7}" name="State" dataDxfId="3646"/>
    <tableColumn id="5" xr3:uid="{5B9E73B0-F17B-48A8-9C28-B8F98CB2452B}" name="District" dataDxfId="3645"/>
    <tableColumn id="6" xr3:uid="{CE888A2F-99D4-4151-A08E-E8998705CB3C}" name="Season" dataDxfId="3644"/>
    <tableColumn id="7" xr3:uid="{A42636C8-A8F8-436F-8ED3-2AE739ECFC12}" name="Crop Name" dataDxfId="3643"/>
    <tableColumn id="8" xr3:uid="{ED8AD94E-68E9-4566-8DAB-3FE3E5991722}" name="Area (Hectares)" dataDxfId="3642"/>
    <tableColumn id="9" xr3:uid="{6C99C95C-B67C-46FE-BE35-4E5CBE0D295B}" name="Production (Tonnes)" dataDxfId="3641"/>
    <tableColumn id="10" xr3:uid="{8F8FCFC7-2ECA-441A-9C86-03DB88B3257F}" name="Yield (Kg/Ha)" dataDxfId="3640"/>
    <tableColumn id="11" xr3:uid="{2F7C257A-89A8-4B8E-9457-5E5C9531B14B}" name="Irrigation Type" dataDxfId="3639"/>
    <tableColumn id="12" xr3:uid="{73DA25C1-EA1A-4A59-9E7A-EF221EF18144}" name="Fertilizer Type" dataDxfId="3638"/>
    <tableColumn id="13" xr3:uid="{723A91A5-FC5F-4152-897E-AB8414960240}" name="Fertilizer Used (Kg)" dataDxfId="3637"/>
    <tableColumn id="14" xr3:uid="{9A3FA796-2441-4394-BE96-BDC1E65D6517}" name="Rainfall (mm)" dataDxfId="3636"/>
    <tableColumn id="15" xr3:uid="{0B2B1A5D-F982-4995-A7BD-EFBEF95FC6D0}" name="Soil Type" dataDxfId="3635"/>
    <tableColumn id="16" xr3:uid="{D0E5BD65-CCDB-45A4-AEEA-6351247A09F7}" name="Temperature (Celsius)" dataDxfId="363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CFC9D4-B841-45E6-9FE9-9E3CE1270E8B}" name="Table2" displayName="Table2" ref="Q487:Q488" insertRow="1" totalsRowShown="0">
  <autoFilter ref="Q487:Q488" xr:uid="{B8CFC9D4-B841-45E6-9FE9-9E3CE1270E8B}"/>
  <tableColumns count="1">
    <tableColumn id="1" xr3:uid="{1F0A94EC-3F74-4EB1-B69D-40397A6538A7}"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7F38D-3DBF-4332-AEAD-B95F22802945}">
  <dimension ref="B2:K62"/>
  <sheetViews>
    <sheetView showGridLines="0" zoomScale="85" zoomScaleNormal="85" workbookViewId="0">
      <selection activeCell="C5" sqref="C5"/>
    </sheetView>
  </sheetViews>
  <sheetFormatPr defaultRowHeight="14.4" x14ac:dyDescent="0.3"/>
  <cols>
    <col min="1" max="1" width="8.88671875" style="4"/>
    <col min="2" max="2" width="13.44140625" style="4" bestFit="1" customWidth="1"/>
    <col min="3" max="3" width="19.5546875" style="4" bestFit="1" customWidth="1"/>
    <col min="4" max="4" width="13.44140625" style="4" bestFit="1" customWidth="1"/>
    <col min="5" max="5" width="20.33203125" style="4" bestFit="1" customWidth="1"/>
    <col min="6" max="6" width="13.44140625" style="4" bestFit="1" customWidth="1"/>
    <col min="7" max="7" width="19.5546875" style="4" bestFit="1" customWidth="1"/>
    <col min="8" max="8" width="16.33203125" style="4" bestFit="1" customWidth="1"/>
    <col min="9" max="9" width="19.5546875" style="4" bestFit="1" customWidth="1"/>
    <col min="10" max="10" width="19.88671875" style="4" bestFit="1" customWidth="1"/>
    <col min="11" max="11" width="19.5546875" style="4" bestFit="1" customWidth="1"/>
    <col min="12" max="12" width="18.6640625" style="4" bestFit="1" customWidth="1"/>
    <col min="13" max="16384" width="8.88671875" style="4"/>
  </cols>
  <sheetData>
    <row r="2" spans="2:11" x14ac:dyDescent="0.3">
      <c r="B2" s="12"/>
      <c r="C2" s="12"/>
      <c r="D2" s="12"/>
      <c r="E2" s="12"/>
      <c r="F2" s="12"/>
      <c r="G2" s="12"/>
      <c r="H2" s="12"/>
      <c r="I2" s="12"/>
      <c r="J2" s="12"/>
      <c r="K2" s="12"/>
    </row>
    <row r="3" spans="2:11" x14ac:dyDescent="0.3">
      <c r="B3" s="28" t="s">
        <v>569</v>
      </c>
      <c r="C3" s="12" t="s">
        <v>575</v>
      </c>
      <c r="D3" s="12"/>
      <c r="E3" s="12"/>
      <c r="F3" s="12"/>
      <c r="G3" s="12"/>
      <c r="H3" s="12"/>
      <c r="I3" s="12"/>
      <c r="J3" s="28" t="s">
        <v>569</v>
      </c>
      <c r="K3" s="12" t="s">
        <v>576</v>
      </c>
    </row>
    <row r="4" spans="2:11" x14ac:dyDescent="0.3">
      <c r="B4" s="12" t="s">
        <v>33</v>
      </c>
      <c r="C4" s="27">
        <v>624068.9</v>
      </c>
      <c r="D4" s="12"/>
      <c r="E4" s="12"/>
      <c r="F4" s="12"/>
      <c r="G4" s="12"/>
      <c r="H4" s="12"/>
      <c r="I4" s="12"/>
      <c r="J4" s="12" t="s">
        <v>29</v>
      </c>
      <c r="K4" s="27"/>
    </row>
    <row r="5" spans="2:11" x14ac:dyDescent="0.3">
      <c r="B5" s="12" t="s">
        <v>38</v>
      </c>
      <c r="C5" s="27">
        <v>724643.42</v>
      </c>
      <c r="D5" s="12"/>
      <c r="E5" s="12"/>
      <c r="F5" s="12"/>
      <c r="G5" s="12"/>
      <c r="H5" s="12"/>
      <c r="I5" s="12"/>
      <c r="J5" s="29" t="s">
        <v>40</v>
      </c>
      <c r="K5" s="27">
        <v>3565.1448096063045</v>
      </c>
    </row>
    <row r="6" spans="2:11" x14ac:dyDescent="0.3">
      <c r="B6" s="12" t="s">
        <v>19</v>
      </c>
      <c r="C6" s="27">
        <v>648641.57999999996</v>
      </c>
      <c r="D6" s="12" t="s">
        <v>569</v>
      </c>
      <c r="E6" s="12" t="s">
        <v>575</v>
      </c>
      <c r="F6" s="28" t="s">
        <v>569</v>
      </c>
      <c r="G6" s="12" t="s">
        <v>576</v>
      </c>
      <c r="H6" s="28" t="s">
        <v>569</v>
      </c>
      <c r="I6" s="12" t="s">
        <v>575</v>
      </c>
      <c r="J6" s="29" t="s">
        <v>21</v>
      </c>
      <c r="K6" s="27">
        <v>9076.0614095947913</v>
      </c>
    </row>
    <row r="7" spans="2:11" x14ac:dyDescent="0.3">
      <c r="B7" s="12" t="s">
        <v>570</v>
      </c>
      <c r="C7" s="27">
        <v>1997353.9</v>
      </c>
      <c r="D7" s="12" t="s">
        <v>39</v>
      </c>
      <c r="E7" s="12">
        <v>352441.95</v>
      </c>
      <c r="F7" s="12" t="s">
        <v>39</v>
      </c>
      <c r="G7" s="27">
        <v>12410.430529883333</v>
      </c>
      <c r="H7" s="12" t="s">
        <v>87</v>
      </c>
      <c r="I7" s="27"/>
      <c r="J7" s="29" t="s">
        <v>28</v>
      </c>
      <c r="K7" s="27">
        <v>3342.2669839548803</v>
      </c>
    </row>
    <row r="8" spans="2:11" x14ac:dyDescent="0.3">
      <c r="B8" s="12"/>
      <c r="C8" s="12"/>
      <c r="D8" s="12" t="s">
        <v>20</v>
      </c>
      <c r="E8" s="12">
        <v>292480.14</v>
      </c>
      <c r="F8" s="12" t="s">
        <v>20</v>
      </c>
      <c r="G8" s="27">
        <v>14782.212224149034</v>
      </c>
      <c r="H8" s="29" t="s">
        <v>25</v>
      </c>
      <c r="I8" s="27">
        <v>106697.24</v>
      </c>
      <c r="J8" s="29" t="s">
        <v>34</v>
      </c>
      <c r="K8" s="27">
        <v>5259.2761256714912</v>
      </c>
    </row>
    <row r="9" spans="2:11" x14ac:dyDescent="0.3">
      <c r="B9" s="12"/>
      <c r="C9" s="12"/>
      <c r="D9" s="12" t="s">
        <v>27</v>
      </c>
      <c r="E9" s="12">
        <v>351793.8</v>
      </c>
      <c r="F9" s="12" t="s">
        <v>27</v>
      </c>
      <c r="G9" s="27">
        <v>24487.568561162858</v>
      </c>
      <c r="H9" s="12" t="s">
        <v>37</v>
      </c>
      <c r="I9" s="27"/>
      <c r="J9" s="12" t="s">
        <v>41</v>
      </c>
      <c r="K9" s="27"/>
    </row>
    <row r="10" spans="2:11" x14ac:dyDescent="0.3">
      <c r="B10" s="28" t="s">
        <v>569</v>
      </c>
      <c r="C10" s="12" t="s">
        <v>575</v>
      </c>
      <c r="D10" s="12" t="s">
        <v>56</v>
      </c>
      <c r="E10" s="12">
        <v>286707.73</v>
      </c>
      <c r="F10" s="12" t="s">
        <v>56</v>
      </c>
      <c r="G10" s="27">
        <v>13994.177913401432</v>
      </c>
      <c r="H10" s="29" t="s">
        <v>36</v>
      </c>
      <c r="I10" s="27">
        <v>100394.86</v>
      </c>
      <c r="J10" s="29" t="s">
        <v>40</v>
      </c>
      <c r="K10" s="27">
        <v>3594.9806867954267</v>
      </c>
    </row>
    <row r="11" spans="2:11" x14ac:dyDescent="0.3">
      <c r="B11" s="12" t="s">
        <v>33</v>
      </c>
      <c r="C11" s="27"/>
      <c r="D11" s="12" t="s">
        <v>46</v>
      </c>
      <c r="E11" s="12">
        <v>369758.25</v>
      </c>
      <c r="F11" s="12" t="s">
        <v>46</v>
      </c>
      <c r="G11" s="27">
        <v>19039.256037288986</v>
      </c>
      <c r="H11" s="12" t="s">
        <v>93</v>
      </c>
      <c r="I11" s="27"/>
      <c r="J11" s="29" t="s">
        <v>21</v>
      </c>
      <c r="K11" s="27">
        <v>3013.5838043200256</v>
      </c>
    </row>
    <row r="12" spans="2:11" x14ac:dyDescent="0.3">
      <c r="B12" s="29" t="s">
        <v>39</v>
      </c>
      <c r="C12" s="27">
        <v>113856.05</v>
      </c>
      <c r="D12" s="12" t="s">
        <v>64</v>
      </c>
      <c r="E12" s="12">
        <v>344172.03</v>
      </c>
      <c r="F12" s="12" t="s">
        <v>64</v>
      </c>
      <c r="G12" s="27">
        <v>14949.230244292326</v>
      </c>
      <c r="H12" s="29" t="s">
        <v>59</v>
      </c>
      <c r="I12" s="27">
        <v>83397.06</v>
      </c>
      <c r="J12" s="29" t="s">
        <v>28</v>
      </c>
      <c r="K12" s="27">
        <v>5976.561070719672</v>
      </c>
    </row>
    <row r="13" spans="2:11" x14ac:dyDescent="0.3">
      <c r="B13" s="29" t="s">
        <v>20</v>
      </c>
      <c r="C13" s="27">
        <v>94248.31</v>
      </c>
      <c r="D13" s="12" t="s">
        <v>570</v>
      </c>
      <c r="E13" s="12">
        <v>1997353.9</v>
      </c>
      <c r="F13" s="12" t="s">
        <v>570</v>
      </c>
      <c r="G13" s="27">
        <v>99662.875510178055</v>
      </c>
      <c r="H13" s="12" t="s">
        <v>67</v>
      </c>
      <c r="I13" s="27"/>
      <c r="J13" s="29" t="s">
        <v>34</v>
      </c>
      <c r="K13" s="27">
        <v>4587.948263813576</v>
      </c>
    </row>
    <row r="14" spans="2:11" x14ac:dyDescent="0.3">
      <c r="B14" s="29" t="s">
        <v>27</v>
      </c>
      <c r="C14" s="27">
        <v>81919.399999999994</v>
      </c>
      <c r="D14" s="12"/>
      <c r="E14" s="12"/>
      <c r="F14" s="12"/>
      <c r="G14" s="12"/>
      <c r="H14" s="29" t="s">
        <v>44</v>
      </c>
      <c r="I14" s="27">
        <v>82598.38</v>
      </c>
      <c r="J14" s="12" t="s">
        <v>49</v>
      </c>
      <c r="K14" s="27"/>
    </row>
    <row r="15" spans="2:11" x14ac:dyDescent="0.3">
      <c r="B15" s="29" t="s">
        <v>56</v>
      </c>
      <c r="C15" s="27">
        <v>69590.8</v>
      </c>
      <c r="D15" s="28" t="s">
        <v>569</v>
      </c>
      <c r="E15" s="12" t="s">
        <v>576</v>
      </c>
      <c r="F15" s="28" t="s">
        <v>569</v>
      </c>
      <c r="G15" s="12" t="s">
        <v>575</v>
      </c>
      <c r="H15" s="12" t="s">
        <v>107</v>
      </c>
      <c r="I15" s="27"/>
      <c r="J15" s="29" t="s">
        <v>40</v>
      </c>
      <c r="K15" s="27">
        <v>3120.1045767673845</v>
      </c>
    </row>
    <row r="16" spans="2:11" x14ac:dyDescent="0.3">
      <c r="B16" s="29" t="s">
        <v>46</v>
      </c>
      <c r="C16" s="27">
        <v>124862.86</v>
      </c>
      <c r="D16" s="12" t="s">
        <v>29</v>
      </c>
      <c r="E16" s="27">
        <v>21242.749328827464</v>
      </c>
      <c r="F16" s="12" t="s">
        <v>59</v>
      </c>
      <c r="G16" s="27">
        <v>305326.59999999998</v>
      </c>
      <c r="H16" s="29" t="s">
        <v>103</v>
      </c>
      <c r="I16" s="27">
        <v>85810.32</v>
      </c>
      <c r="J16" s="29" t="s">
        <v>21</v>
      </c>
      <c r="K16" s="27">
        <v>4013.8522733750365</v>
      </c>
    </row>
    <row r="17" spans="2:11" x14ac:dyDescent="0.3">
      <c r="B17" s="29" t="s">
        <v>64</v>
      </c>
      <c r="C17" s="27">
        <v>139591.48000000001</v>
      </c>
      <c r="D17" s="12" t="s">
        <v>41</v>
      </c>
      <c r="E17" s="27">
        <v>17173.073825648706</v>
      </c>
      <c r="F17" s="12" t="s">
        <v>103</v>
      </c>
      <c r="G17" s="27">
        <v>285242.09999999998</v>
      </c>
      <c r="H17" s="12" t="s">
        <v>63</v>
      </c>
      <c r="I17" s="27"/>
      <c r="J17" s="29" t="s">
        <v>28</v>
      </c>
      <c r="K17" s="27">
        <v>2604.2986354546424</v>
      </c>
    </row>
    <row r="18" spans="2:11" x14ac:dyDescent="0.3">
      <c r="B18" s="12" t="s">
        <v>38</v>
      </c>
      <c r="C18" s="27"/>
      <c r="D18" s="12" t="s">
        <v>49</v>
      </c>
      <c r="E18" s="27">
        <v>17350.932927582035</v>
      </c>
      <c r="F18" s="12" t="s">
        <v>36</v>
      </c>
      <c r="G18" s="27">
        <v>243159.53</v>
      </c>
      <c r="H18" s="29" t="s">
        <v>59</v>
      </c>
      <c r="I18" s="27">
        <v>116930.64</v>
      </c>
      <c r="J18" s="29" t="s">
        <v>34</v>
      </c>
      <c r="K18" s="27">
        <v>7612.6774419849717</v>
      </c>
    </row>
    <row r="19" spans="2:11" x14ac:dyDescent="0.3">
      <c r="B19" s="29" t="s">
        <v>39</v>
      </c>
      <c r="C19" s="27">
        <v>131081.70000000001</v>
      </c>
      <c r="D19" s="12" t="s">
        <v>22</v>
      </c>
      <c r="E19" s="27">
        <v>24721.725058558452</v>
      </c>
      <c r="F19" s="12" t="s">
        <v>31</v>
      </c>
      <c r="G19" s="27">
        <v>312625.69</v>
      </c>
      <c r="H19" s="12" t="s">
        <v>104</v>
      </c>
      <c r="I19" s="27"/>
      <c r="J19" s="12" t="s">
        <v>22</v>
      </c>
      <c r="K19" s="27"/>
    </row>
    <row r="20" spans="2:11" x14ac:dyDescent="0.3">
      <c r="B20" s="29" t="s">
        <v>20</v>
      </c>
      <c r="C20" s="27">
        <v>87616.23</v>
      </c>
      <c r="D20" s="12" t="s">
        <v>47</v>
      </c>
      <c r="E20" s="27">
        <v>19174.394369561312</v>
      </c>
      <c r="F20" s="12" t="s">
        <v>25</v>
      </c>
      <c r="G20" s="27">
        <v>273696.81</v>
      </c>
      <c r="H20" s="29" t="s">
        <v>103</v>
      </c>
      <c r="I20" s="27">
        <v>121518.51</v>
      </c>
      <c r="J20" s="29" t="s">
        <v>40</v>
      </c>
      <c r="K20" s="27">
        <v>8312.2571865945247</v>
      </c>
    </row>
    <row r="21" spans="2:11" x14ac:dyDescent="0.3">
      <c r="B21" s="29" t="s">
        <v>27</v>
      </c>
      <c r="C21" s="27">
        <v>152302.39999999999</v>
      </c>
      <c r="D21" s="12" t="s">
        <v>570</v>
      </c>
      <c r="E21" s="27">
        <v>99662.875510178055</v>
      </c>
      <c r="F21" s="12" t="s">
        <v>17</v>
      </c>
      <c r="G21" s="27">
        <v>286474.09000000003</v>
      </c>
      <c r="H21" s="12" t="s">
        <v>228</v>
      </c>
      <c r="I21" s="27"/>
      <c r="J21" s="29" t="s">
        <v>21</v>
      </c>
      <c r="K21" s="27">
        <v>4861.9926817233227</v>
      </c>
    </row>
    <row r="22" spans="2:11" x14ac:dyDescent="0.3">
      <c r="B22" s="29" t="s">
        <v>56</v>
      </c>
      <c r="C22" s="27">
        <v>89193.97</v>
      </c>
      <c r="D22" s="12"/>
      <c r="E22" s="12"/>
      <c r="F22" s="12" t="s">
        <v>44</v>
      </c>
      <c r="G22" s="27">
        <v>290829.08</v>
      </c>
      <c r="H22" s="29" t="s">
        <v>103</v>
      </c>
      <c r="I22" s="27">
        <v>77913.27</v>
      </c>
      <c r="J22" s="29" t="s">
        <v>28</v>
      </c>
      <c r="K22" s="27">
        <v>2187.1133083647433</v>
      </c>
    </row>
    <row r="23" spans="2:11" x14ac:dyDescent="0.3">
      <c r="B23" s="29" t="s">
        <v>46</v>
      </c>
      <c r="C23" s="27">
        <v>144035.91</v>
      </c>
      <c r="D23" s="12"/>
      <c r="E23" s="12"/>
      <c r="F23" s="12" t="s">
        <v>570</v>
      </c>
      <c r="G23" s="27">
        <v>1997353.9</v>
      </c>
      <c r="H23" s="12" t="s">
        <v>99</v>
      </c>
      <c r="I23" s="27"/>
      <c r="J23" s="29" t="s">
        <v>34</v>
      </c>
      <c r="K23" s="27">
        <v>9360.3618818758641</v>
      </c>
    </row>
    <row r="24" spans="2:11" x14ac:dyDescent="0.3">
      <c r="B24" s="29" t="s">
        <v>64</v>
      </c>
      <c r="C24" s="27">
        <v>120413.21</v>
      </c>
      <c r="D24" s="27"/>
      <c r="E24" s="12"/>
      <c r="F24" s="12"/>
      <c r="G24" s="12"/>
      <c r="H24" s="29" t="s">
        <v>44</v>
      </c>
      <c r="I24" s="27">
        <v>66756.97</v>
      </c>
      <c r="J24" s="12" t="s">
        <v>47</v>
      </c>
      <c r="K24" s="27"/>
    </row>
    <row r="25" spans="2:11" x14ac:dyDescent="0.3">
      <c r="B25" s="12" t="s">
        <v>19</v>
      </c>
      <c r="C25" s="27"/>
      <c r="D25" s="28" t="s">
        <v>569</v>
      </c>
      <c r="E25" s="12" t="s">
        <v>579</v>
      </c>
      <c r="F25" s="12" t="s">
        <v>578</v>
      </c>
      <c r="G25" s="12"/>
      <c r="H25" s="12" t="s">
        <v>77</v>
      </c>
      <c r="I25" s="27"/>
      <c r="J25" s="29" t="s">
        <v>40</v>
      </c>
      <c r="K25" s="27">
        <v>2816.1700400795321</v>
      </c>
    </row>
    <row r="26" spans="2:11" x14ac:dyDescent="0.3">
      <c r="B26" s="29" t="s">
        <v>39</v>
      </c>
      <c r="C26" s="27">
        <v>107504.2</v>
      </c>
      <c r="D26" s="12" t="s">
        <v>39</v>
      </c>
      <c r="E26" s="27"/>
      <c r="F26" s="27"/>
      <c r="G26" s="12"/>
      <c r="H26" s="29" t="s">
        <v>36</v>
      </c>
      <c r="I26" s="27">
        <v>98619.38</v>
      </c>
      <c r="J26" s="29" t="s">
        <v>21</v>
      </c>
      <c r="K26" s="27">
        <v>4815.5409200707381</v>
      </c>
    </row>
    <row r="27" spans="2:11" x14ac:dyDescent="0.3">
      <c r="B27" s="29" t="s">
        <v>20</v>
      </c>
      <c r="C27" s="27">
        <v>110615.6</v>
      </c>
      <c r="D27" s="29" t="s">
        <v>70</v>
      </c>
      <c r="E27" s="27">
        <v>1105.58</v>
      </c>
      <c r="F27" s="27">
        <v>473.75</v>
      </c>
      <c r="G27" s="12"/>
      <c r="H27" s="12" t="s">
        <v>72</v>
      </c>
      <c r="I27" s="27"/>
      <c r="J27" s="29" t="s">
        <v>28</v>
      </c>
      <c r="K27" s="27">
        <v>8154.4513242173398</v>
      </c>
    </row>
    <row r="28" spans="2:11" x14ac:dyDescent="0.3">
      <c r="B28" s="29" t="s">
        <v>27</v>
      </c>
      <c r="C28" s="27">
        <v>117572</v>
      </c>
      <c r="D28" s="29" t="s">
        <v>23</v>
      </c>
      <c r="E28" s="27">
        <v>784.23</v>
      </c>
      <c r="F28" s="27">
        <v>428.33</v>
      </c>
      <c r="G28" s="12"/>
      <c r="H28" s="29" t="s">
        <v>17</v>
      </c>
      <c r="I28" s="27">
        <v>120359.21</v>
      </c>
      <c r="J28" s="29" t="s">
        <v>34</v>
      </c>
      <c r="K28" s="27">
        <v>3388.2320851937102</v>
      </c>
    </row>
    <row r="29" spans="2:11" x14ac:dyDescent="0.3">
      <c r="B29" s="29" t="s">
        <v>56</v>
      </c>
      <c r="C29" s="27">
        <v>127922.96</v>
      </c>
      <c r="D29" s="29" t="s">
        <v>52</v>
      </c>
      <c r="E29" s="27">
        <v>1103.5</v>
      </c>
      <c r="F29" s="27">
        <v>629.09</v>
      </c>
      <c r="G29" s="12"/>
      <c r="H29" s="12" t="s">
        <v>45</v>
      </c>
      <c r="I29" s="27"/>
      <c r="J29" s="12" t="s">
        <v>570</v>
      </c>
      <c r="K29" s="27">
        <v>99662.875510178055</v>
      </c>
    </row>
    <row r="30" spans="2:11" x14ac:dyDescent="0.3">
      <c r="B30" s="29" t="s">
        <v>46</v>
      </c>
      <c r="C30" s="27">
        <v>100859.48</v>
      </c>
      <c r="D30" s="29" t="s">
        <v>42</v>
      </c>
      <c r="E30" s="27">
        <v>1134.9000000000001</v>
      </c>
      <c r="F30" s="27">
        <v>540.82000000000005</v>
      </c>
      <c r="G30" s="12"/>
      <c r="H30" s="29" t="s">
        <v>44</v>
      </c>
      <c r="I30" s="27">
        <v>141473.73000000001</v>
      </c>
      <c r="J30" s="12"/>
      <c r="K30" s="12"/>
    </row>
    <row r="31" spans="2:11" x14ac:dyDescent="0.3">
      <c r="B31" s="29" t="s">
        <v>64</v>
      </c>
      <c r="C31" s="27">
        <v>84167.34</v>
      </c>
      <c r="D31" s="29" t="s">
        <v>61</v>
      </c>
      <c r="E31" s="27">
        <v>770.17</v>
      </c>
      <c r="F31" s="27">
        <v>474.16</v>
      </c>
      <c r="G31" s="12"/>
      <c r="H31" s="12" t="s">
        <v>18</v>
      </c>
      <c r="I31" s="27"/>
      <c r="J31" s="12" t="s">
        <v>577</v>
      </c>
      <c r="K31" s="12" t="s">
        <v>575</v>
      </c>
    </row>
    <row r="32" spans="2:11" x14ac:dyDescent="0.3">
      <c r="B32" s="12" t="s">
        <v>570</v>
      </c>
      <c r="C32" s="27">
        <v>1997353.9</v>
      </c>
      <c r="D32" s="12" t="s">
        <v>20</v>
      </c>
      <c r="E32" s="27"/>
      <c r="F32" s="27"/>
      <c r="G32" s="12"/>
      <c r="H32" s="29" t="s">
        <v>17</v>
      </c>
      <c r="I32" s="27">
        <v>58400.87</v>
      </c>
      <c r="J32" s="27">
        <v>352135.12</v>
      </c>
      <c r="K32" s="27">
        <v>1997353.9</v>
      </c>
    </row>
    <row r="33" spans="2:11" x14ac:dyDescent="0.3">
      <c r="B33" s="12"/>
      <c r="C33" s="12"/>
      <c r="D33" s="29" t="s">
        <v>70</v>
      </c>
      <c r="E33" s="27">
        <v>806.44</v>
      </c>
      <c r="F33" s="27">
        <v>472.63</v>
      </c>
      <c r="G33" s="12"/>
      <c r="H33" s="12" t="s">
        <v>26</v>
      </c>
      <c r="I33" s="27"/>
      <c r="J33" s="12"/>
      <c r="K33" s="12"/>
    </row>
    <row r="34" spans="2:11" x14ac:dyDescent="0.3">
      <c r="B34" s="28" t="s">
        <v>569</v>
      </c>
      <c r="C34" s="12" t="s">
        <v>579</v>
      </c>
      <c r="D34" s="29" t="s">
        <v>23</v>
      </c>
      <c r="E34" s="27">
        <v>877.59</v>
      </c>
      <c r="F34" s="27">
        <v>403.32</v>
      </c>
      <c r="G34" s="12"/>
      <c r="H34" s="29" t="s">
        <v>25</v>
      </c>
      <c r="I34" s="27">
        <v>77010.33</v>
      </c>
      <c r="J34" s="12"/>
      <c r="K34" s="12"/>
    </row>
    <row r="35" spans="2:11" x14ac:dyDescent="0.3">
      <c r="B35" s="12" t="s">
        <v>40</v>
      </c>
      <c r="C35" s="27">
        <v>5445.61</v>
      </c>
      <c r="D35" s="29" t="s">
        <v>52</v>
      </c>
      <c r="E35" s="27">
        <v>763.98</v>
      </c>
      <c r="F35" s="27">
        <v>436.02</v>
      </c>
      <c r="G35" s="12"/>
      <c r="H35" s="12" t="s">
        <v>117</v>
      </c>
      <c r="I35" s="27"/>
      <c r="J35" s="12"/>
      <c r="K35" s="12"/>
    </row>
    <row r="36" spans="2:11" x14ac:dyDescent="0.3">
      <c r="B36" s="12" t="s">
        <v>21</v>
      </c>
      <c r="C36" s="27">
        <v>5846.61</v>
      </c>
      <c r="D36" s="29" t="s">
        <v>42</v>
      </c>
      <c r="E36" s="27">
        <v>925.41</v>
      </c>
      <c r="F36" s="27">
        <v>408.76</v>
      </c>
      <c r="G36" s="12"/>
      <c r="H36" s="29" t="s">
        <v>31</v>
      </c>
      <c r="I36" s="27">
        <v>77001.36</v>
      </c>
      <c r="J36" s="12"/>
      <c r="K36" s="12"/>
    </row>
    <row r="37" spans="2:11" x14ac:dyDescent="0.3">
      <c r="B37" s="12" t="s">
        <v>28</v>
      </c>
      <c r="C37" s="27">
        <v>6974.4</v>
      </c>
      <c r="D37" s="29" t="s">
        <v>61</v>
      </c>
      <c r="E37" s="27">
        <v>634.1</v>
      </c>
      <c r="F37" s="27">
        <v>305.14999999999998</v>
      </c>
      <c r="G37" s="12"/>
      <c r="H37" s="12" t="s">
        <v>51</v>
      </c>
      <c r="I37" s="27"/>
      <c r="J37" s="12"/>
      <c r="K37" s="12"/>
    </row>
    <row r="38" spans="2:11" x14ac:dyDescent="0.3">
      <c r="B38" s="12" t="s">
        <v>34</v>
      </c>
      <c r="C38" s="27">
        <v>6580.61</v>
      </c>
      <c r="D38" s="12" t="s">
        <v>27</v>
      </c>
      <c r="E38" s="27"/>
      <c r="F38" s="27"/>
      <c r="G38" s="12"/>
      <c r="H38" s="29" t="s">
        <v>36</v>
      </c>
      <c r="I38" s="27">
        <v>44145.29</v>
      </c>
      <c r="J38" s="12"/>
      <c r="K38" s="12"/>
    </row>
    <row r="39" spans="2:11" x14ac:dyDescent="0.3">
      <c r="B39" s="12" t="s">
        <v>570</v>
      </c>
      <c r="C39" s="27">
        <v>24847.23</v>
      </c>
      <c r="D39" s="29" t="s">
        <v>70</v>
      </c>
      <c r="E39" s="27">
        <v>1130.56</v>
      </c>
      <c r="F39" s="27">
        <v>637.63</v>
      </c>
      <c r="G39" s="12"/>
      <c r="H39" s="12" t="s">
        <v>82</v>
      </c>
      <c r="I39" s="27"/>
      <c r="J39" s="12"/>
      <c r="K39" s="12"/>
    </row>
    <row r="40" spans="2:11" x14ac:dyDescent="0.3">
      <c r="B40" s="28" t="s">
        <v>569</v>
      </c>
      <c r="C40" s="12" t="s">
        <v>580</v>
      </c>
      <c r="D40" s="29" t="s">
        <v>23</v>
      </c>
      <c r="E40" s="27">
        <v>784.9</v>
      </c>
      <c r="F40" s="27">
        <v>472.56</v>
      </c>
      <c r="G40" s="12"/>
      <c r="H40" s="29" t="s">
        <v>31</v>
      </c>
      <c r="I40" s="27">
        <v>101168.16</v>
      </c>
      <c r="J40" s="12"/>
      <c r="K40" s="12"/>
    </row>
    <row r="41" spans="2:11" x14ac:dyDescent="0.3">
      <c r="B41" s="12" t="s">
        <v>87</v>
      </c>
      <c r="C41" s="27">
        <v>4975.8</v>
      </c>
      <c r="D41" s="29" t="s">
        <v>52</v>
      </c>
      <c r="E41" s="27">
        <v>819.76</v>
      </c>
      <c r="F41" s="27">
        <v>482.16</v>
      </c>
      <c r="G41" s="12"/>
      <c r="H41" s="12" t="s">
        <v>69</v>
      </c>
      <c r="I41" s="27"/>
      <c r="J41" s="12"/>
      <c r="K41" s="12"/>
    </row>
    <row r="42" spans="2:11" x14ac:dyDescent="0.3">
      <c r="B42" s="12" t="s">
        <v>37</v>
      </c>
      <c r="C42" s="27">
        <v>3591.54</v>
      </c>
      <c r="D42" s="29" t="s">
        <v>42</v>
      </c>
      <c r="E42" s="27">
        <v>555.91</v>
      </c>
      <c r="F42" s="27">
        <v>285.43</v>
      </c>
      <c r="G42" s="12"/>
      <c r="H42" s="29" t="s">
        <v>25</v>
      </c>
      <c r="I42" s="27">
        <v>89989.24</v>
      </c>
      <c r="J42" s="12"/>
      <c r="K42" s="12"/>
    </row>
    <row r="43" spans="2:11" x14ac:dyDescent="0.3">
      <c r="B43" s="12" t="s">
        <v>93</v>
      </c>
      <c r="C43" s="27">
        <v>4245.58</v>
      </c>
      <c r="D43" s="29" t="s">
        <v>61</v>
      </c>
      <c r="E43" s="27">
        <v>731.55</v>
      </c>
      <c r="F43" s="27">
        <v>373.52</v>
      </c>
      <c r="G43" s="12"/>
      <c r="H43" s="12" t="s">
        <v>60</v>
      </c>
      <c r="I43" s="27"/>
      <c r="J43" s="12"/>
      <c r="K43" s="12"/>
    </row>
    <row r="44" spans="2:11" x14ac:dyDescent="0.3">
      <c r="B44" s="12" t="s">
        <v>67</v>
      </c>
      <c r="C44" s="27">
        <v>3826.97</v>
      </c>
      <c r="D44" s="12" t="s">
        <v>56</v>
      </c>
      <c r="E44" s="27"/>
      <c r="F44" s="27"/>
      <c r="G44" s="12"/>
      <c r="H44" s="29" t="s">
        <v>59</v>
      </c>
      <c r="I44" s="27">
        <v>104998.9</v>
      </c>
      <c r="J44" s="12"/>
      <c r="K44" s="12"/>
    </row>
    <row r="45" spans="2:11" x14ac:dyDescent="0.3">
      <c r="B45" s="12" t="s">
        <v>107</v>
      </c>
      <c r="C45" s="27">
        <v>3312.35</v>
      </c>
      <c r="D45" s="29" t="s">
        <v>70</v>
      </c>
      <c r="E45" s="27">
        <v>459.62</v>
      </c>
      <c r="F45" s="27">
        <v>330.81</v>
      </c>
      <c r="G45" s="12"/>
      <c r="H45" s="12" t="s">
        <v>32</v>
      </c>
      <c r="I45" s="27"/>
      <c r="J45" s="12"/>
      <c r="K45" s="12"/>
    </row>
    <row r="46" spans="2:11" x14ac:dyDescent="0.3">
      <c r="B46" s="12" t="s">
        <v>63</v>
      </c>
      <c r="C46" s="27">
        <v>4775.49</v>
      </c>
      <c r="D46" s="29" t="s">
        <v>23</v>
      </c>
      <c r="E46" s="27">
        <v>841.12</v>
      </c>
      <c r="F46" s="27">
        <v>474.06</v>
      </c>
      <c r="G46" s="12"/>
      <c r="H46" s="29" t="s">
        <v>31</v>
      </c>
      <c r="I46" s="27">
        <v>134456.17000000001</v>
      </c>
      <c r="J46" s="12"/>
      <c r="K46" s="12"/>
    </row>
    <row r="47" spans="2:11" x14ac:dyDescent="0.3">
      <c r="B47" s="12" t="s">
        <v>104</v>
      </c>
      <c r="C47" s="27">
        <v>4763.9799999999996</v>
      </c>
      <c r="D47" s="29" t="s">
        <v>52</v>
      </c>
      <c r="E47" s="27">
        <v>871.87</v>
      </c>
      <c r="F47" s="27">
        <v>469.7</v>
      </c>
      <c r="G47" s="12"/>
      <c r="H47" s="12" t="s">
        <v>54</v>
      </c>
      <c r="I47" s="27"/>
      <c r="J47" s="12"/>
      <c r="K47" s="12"/>
    </row>
    <row r="48" spans="2:11" x14ac:dyDescent="0.3">
      <c r="B48" s="12" t="s">
        <v>228</v>
      </c>
      <c r="C48" s="27">
        <v>4391.1099999999997</v>
      </c>
      <c r="D48" s="29" t="s">
        <v>42</v>
      </c>
      <c r="E48" s="27">
        <v>770.18</v>
      </c>
      <c r="F48" s="27">
        <v>345.99</v>
      </c>
      <c r="G48" s="12"/>
      <c r="H48" s="29" t="s">
        <v>17</v>
      </c>
      <c r="I48" s="27">
        <v>107714.01</v>
      </c>
      <c r="J48" s="12"/>
      <c r="K48" s="12"/>
    </row>
    <row r="49" spans="2:11" x14ac:dyDescent="0.3">
      <c r="B49" s="12" t="s">
        <v>99</v>
      </c>
      <c r="C49" s="27">
        <v>2545.12</v>
      </c>
      <c r="D49" s="29" t="s">
        <v>61</v>
      </c>
      <c r="E49" s="27">
        <v>714.03</v>
      </c>
      <c r="F49" s="27">
        <v>470.71</v>
      </c>
      <c r="G49" s="12"/>
      <c r="H49" s="12" t="s">
        <v>570</v>
      </c>
      <c r="I49" s="27">
        <v>1997353.9</v>
      </c>
      <c r="J49" s="12"/>
      <c r="K49" s="12"/>
    </row>
    <row r="50" spans="2:11" x14ac:dyDescent="0.3">
      <c r="B50" s="12" t="s">
        <v>77</v>
      </c>
      <c r="C50" s="27">
        <v>3833.13</v>
      </c>
      <c r="D50" s="12" t="s">
        <v>46</v>
      </c>
      <c r="E50" s="27"/>
      <c r="F50" s="27"/>
      <c r="G50" s="12"/>
      <c r="H50" s="12"/>
      <c r="I50" s="12"/>
      <c r="J50" s="12"/>
      <c r="K50" s="12"/>
    </row>
    <row r="51" spans="2:11" x14ac:dyDescent="0.3">
      <c r="B51" s="12" t="s">
        <v>72</v>
      </c>
      <c r="C51" s="27">
        <v>5193.66</v>
      </c>
      <c r="D51" s="29" t="s">
        <v>70</v>
      </c>
      <c r="E51" s="27">
        <v>649.29999999999995</v>
      </c>
      <c r="F51" s="27">
        <v>329.75</v>
      </c>
      <c r="G51" s="12"/>
      <c r="H51" s="12"/>
      <c r="I51" s="12"/>
      <c r="J51" s="12"/>
      <c r="K51" s="12"/>
    </row>
    <row r="52" spans="2:11" x14ac:dyDescent="0.3">
      <c r="B52" s="12" t="s">
        <v>45</v>
      </c>
      <c r="C52" s="27">
        <v>6380.5</v>
      </c>
      <c r="D52" s="29" t="s">
        <v>23</v>
      </c>
      <c r="E52" s="27">
        <v>786.39</v>
      </c>
      <c r="F52" s="27">
        <v>491.41</v>
      </c>
      <c r="G52" s="12"/>
      <c r="H52" s="12"/>
      <c r="I52" s="12"/>
      <c r="J52" s="12"/>
      <c r="K52" s="12"/>
    </row>
    <row r="53" spans="2:11" x14ac:dyDescent="0.3">
      <c r="B53" s="12" t="s">
        <v>18</v>
      </c>
      <c r="C53" s="27">
        <v>2979.48</v>
      </c>
      <c r="D53" s="29" t="s">
        <v>52</v>
      </c>
      <c r="E53" s="27">
        <v>1402.88</v>
      </c>
      <c r="F53" s="27">
        <v>807.05</v>
      </c>
      <c r="G53" s="12"/>
      <c r="H53" s="12"/>
      <c r="I53" s="12"/>
      <c r="J53" s="12"/>
      <c r="K53" s="12"/>
    </row>
    <row r="54" spans="2:11" x14ac:dyDescent="0.3">
      <c r="B54" s="12" t="s">
        <v>26</v>
      </c>
      <c r="C54" s="27">
        <v>3347.48</v>
      </c>
      <c r="D54" s="29" t="s">
        <v>42</v>
      </c>
      <c r="E54" s="27">
        <v>916.36</v>
      </c>
      <c r="F54" s="27">
        <v>514.92999999999995</v>
      </c>
      <c r="G54" s="12"/>
      <c r="H54" s="12"/>
      <c r="I54" s="12"/>
      <c r="J54" s="12"/>
      <c r="K54" s="12"/>
    </row>
    <row r="55" spans="2:11" x14ac:dyDescent="0.3">
      <c r="B55" s="12" t="s">
        <v>117</v>
      </c>
      <c r="C55" s="27">
        <v>3787.2</v>
      </c>
      <c r="D55" s="29" t="s">
        <v>61</v>
      </c>
      <c r="E55" s="27">
        <v>632.82000000000005</v>
      </c>
      <c r="F55" s="27">
        <v>371.64</v>
      </c>
      <c r="G55" s="12"/>
      <c r="H55" s="12"/>
      <c r="I55" s="12"/>
      <c r="J55" s="12"/>
      <c r="K55" s="12"/>
    </row>
    <row r="56" spans="2:11" x14ac:dyDescent="0.3">
      <c r="B56" s="12" t="s">
        <v>51</v>
      </c>
      <c r="C56" s="27">
        <v>2207.86</v>
      </c>
      <c r="D56" s="12" t="s">
        <v>64</v>
      </c>
      <c r="E56" s="27"/>
      <c r="F56" s="27"/>
      <c r="G56" s="12"/>
      <c r="H56" s="12"/>
      <c r="I56" s="12"/>
      <c r="J56" s="12"/>
      <c r="K56" s="12"/>
    </row>
    <row r="57" spans="2:11" x14ac:dyDescent="0.3">
      <c r="B57" s="12" t="s">
        <v>82</v>
      </c>
      <c r="C57" s="27">
        <v>4714.74</v>
      </c>
      <c r="D57" s="29" t="s">
        <v>70</v>
      </c>
      <c r="E57" s="27">
        <v>877.07</v>
      </c>
      <c r="F57" s="27">
        <v>474.17</v>
      </c>
      <c r="G57" s="12"/>
      <c r="H57" s="12"/>
      <c r="I57" s="12"/>
      <c r="J57" s="12"/>
      <c r="K57" s="12"/>
    </row>
    <row r="58" spans="2:11" x14ac:dyDescent="0.3">
      <c r="B58" s="12" t="s">
        <v>69</v>
      </c>
      <c r="C58" s="27">
        <v>3869.15</v>
      </c>
      <c r="D58" s="29" t="s">
        <v>23</v>
      </c>
      <c r="E58" s="27">
        <v>600.97</v>
      </c>
      <c r="F58" s="27">
        <v>339.79</v>
      </c>
      <c r="G58" s="12"/>
      <c r="H58" s="12"/>
      <c r="I58" s="12"/>
      <c r="J58" s="12"/>
      <c r="K58" s="12"/>
    </row>
    <row r="59" spans="2:11" x14ac:dyDescent="0.3">
      <c r="B59" s="12" t="s">
        <v>60</v>
      </c>
      <c r="C59" s="27">
        <v>4042.79</v>
      </c>
      <c r="D59" s="29" t="s">
        <v>52</v>
      </c>
      <c r="E59" s="27">
        <v>978.95</v>
      </c>
      <c r="F59" s="27">
        <v>518.26</v>
      </c>
      <c r="G59" s="12"/>
      <c r="H59" s="12"/>
      <c r="I59" s="12"/>
      <c r="J59" s="12"/>
      <c r="K59" s="12"/>
    </row>
    <row r="60" spans="2:11" x14ac:dyDescent="0.3">
      <c r="B60" s="12" t="s">
        <v>32</v>
      </c>
      <c r="C60" s="27">
        <v>5419.21</v>
      </c>
      <c r="D60" s="29" t="s">
        <v>42</v>
      </c>
      <c r="E60" s="27">
        <v>701.97</v>
      </c>
      <c r="F60" s="27">
        <v>437.21</v>
      </c>
      <c r="G60" s="12"/>
      <c r="H60" s="12"/>
      <c r="I60" s="12"/>
      <c r="J60" s="12"/>
      <c r="K60" s="12"/>
    </row>
    <row r="61" spans="2:11" x14ac:dyDescent="0.3">
      <c r="B61" s="12" t="s">
        <v>54</v>
      </c>
      <c r="C61" s="27">
        <v>4506.97</v>
      </c>
      <c r="D61" s="29" t="s">
        <v>61</v>
      </c>
      <c r="E61" s="27">
        <v>715.12</v>
      </c>
      <c r="F61" s="27">
        <v>514.16999999999996</v>
      </c>
      <c r="G61" s="12"/>
      <c r="H61" s="12"/>
      <c r="I61" s="12"/>
      <c r="J61" s="12"/>
      <c r="K61" s="12"/>
    </row>
    <row r="62" spans="2:11" x14ac:dyDescent="0.3">
      <c r="B62" s="12" t="s">
        <v>570</v>
      </c>
      <c r="C62" s="27">
        <v>86710.11</v>
      </c>
      <c r="D62" s="12" t="s">
        <v>570</v>
      </c>
      <c r="E62" s="27">
        <v>24847.23</v>
      </c>
      <c r="F62" s="27">
        <v>13712.98</v>
      </c>
      <c r="G62" s="12"/>
      <c r="H62" s="12"/>
      <c r="I62" s="12"/>
      <c r="J62" s="12"/>
      <c r="K62" s="12"/>
    </row>
  </sheetData>
  <conditionalFormatting sqref="J7">
    <cfRule type="colorScale" priority="2">
      <colorScale>
        <cfvo type="min"/>
        <cfvo type="percentile" val="50"/>
        <cfvo type="max"/>
        <color rgb="FFF8696B"/>
        <color rgb="FFFFEB84"/>
        <color rgb="FF63BE7B"/>
      </colorScale>
    </cfRule>
  </conditionalFormatting>
  <conditionalFormatting pivot="1" sqref="K5:K8 K10:K13 K15:K18 K20:K23 K25:K2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1CAF0-75DC-4C99-86A3-17FEAD6042FE}">
  <dimension ref="D2:U44"/>
  <sheetViews>
    <sheetView showGridLines="0" tabSelected="1" workbookViewId="0">
      <selection activeCell="Q1" sqref="Q1"/>
    </sheetView>
  </sheetViews>
  <sheetFormatPr defaultRowHeight="14.4" x14ac:dyDescent="0.3"/>
  <cols>
    <col min="7" max="8" width="12.5546875" bestFit="1" customWidth="1"/>
    <col min="9" max="9" width="26.21875" bestFit="1" customWidth="1"/>
    <col min="10" max="10" width="20.5546875" bestFit="1" customWidth="1"/>
    <col min="17" max="17" width="15.44140625" bestFit="1" customWidth="1"/>
    <col min="18" max="18" width="19.109375" bestFit="1" customWidth="1"/>
    <col min="19" max="19" width="12.5546875" bestFit="1" customWidth="1"/>
    <col min="20" max="20" width="26.21875" bestFit="1" customWidth="1"/>
    <col min="21" max="21" width="20.5546875" bestFit="1" customWidth="1"/>
  </cols>
  <sheetData>
    <row r="2" spans="4:21" x14ac:dyDescent="0.3">
      <c r="D2" t="s">
        <v>581</v>
      </c>
      <c r="E2" s="30" t="s">
        <v>582</v>
      </c>
    </row>
    <row r="7" spans="4:21" x14ac:dyDescent="0.3">
      <c r="S7" s="3" t="s">
        <v>569</v>
      </c>
      <c r="T7" t="s">
        <v>578</v>
      </c>
      <c r="U7" t="s">
        <v>579</v>
      </c>
    </row>
    <row r="8" spans="4:21" x14ac:dyDescent="0.3">
      <c r="S8" s="4" t="s">
        <v>39</v>
      </c>
      <c r="T8" s="2"/>
      <c r="U8" s="2"/>
    </row>
    <row r="9" spans="4:21" x14ac:dyDescent="0.3">
      <c r="S9" s="5" t="s">
        <v>70</v>
      </c>
      <c r="T9" s="2">
        <v>473.75</v>
      </c>
      <c r="U9" s="2">
        <v>1105.58</v>
      </c>
    </row>
    <row r="10" spans="4:21" x14ac:dyDescent="0.3">
      <c r="S10" s="5" t="s">
        <v>23</v>
      </c>
      <c r="T10" s="2">
        <v>428.33</v>
      </c>
      <c r="U10" s="2">
        <v>784.23</v>
      </c>
    </row>
    <row r="11" spans="4:21" x14ac:dyDescent="0.3">
      <c r="S11" s="5" t="s">
        <v>52</v>
      </c>
      <c r="T11" s="2">
        <v>629.09</v>
      </c>
      <c r="U11" s="2">
        <v>1103.5</v>
      </c>
    </row>
    <row r="12" spans="4:21" x14ac:dyDescent="0.3">
      <c r="S12" s="5" t="s">
        <v>42</v>
      </c>
      <c r="T12" s="2">
        <v>540.82000000000005</v>
      </c>
      <c r="U12" s="2">
        <v>1134.9000000000001</v>
      </c>
    </row>
    <row r="13" spans="4:21" x14ac:dyDescent="0.3">
      <c r="S13" s="5" t="s">
        <v>61</v>
      </c>
      <c r="T13" s="2">
        <v>474.16</v>
      </c>
      <c r="U13" s="2">
        <v>770.17</v>
      </c>
    </row>
    <row r="14" spans="4:21" x14ac:dyDescent="0.3">
      <c r="S14" s="4" t="s">
        <v>20</v>
      </c>
      <c r="T14" s="2"/>
      <c r="U14" s="2"/>
    </row>
    <row r="15" spans="4:21" x14ac:dyDescent="0.3">
      <c r="S15" s="5" t="s">
        <v>70</v>
      </c>
      <c r="T15" s="2">
        <v>472.63</v>
      </c>
      <c r="U15" s="2">
        <v>806.44</v>
      </c>
    </row>
    <row r="16" spans="4:21" x14ac:dyDescent="0.3">
      <c r="S16" s="5" t="s">
        <v>23</v>
      </c>
      <c r="T16" s="2">
        <v>403.32</v>
      </c>
      <c r="U16" s="2">
        <v>877.59</v>
      </c>
    </row>
    <row r="17" spans="17:21" x14ac:dyDescent="0.3">
      <c r="S17" s="5" t="s">
        <v>52</v>
      </c>
      <c r="T17" s="2">
        <v>436.02</v>
      </c>
      <c r="U17" s="2">
        <v>763.98</v>
      </c>
    </row>
    <row r="18" spans="17:21" x14ac:dyDescent="0.3">
      <c r="Q18" s="3" t="s">
        <v>569</v>
      </c>
      <c r="R18" t="s">
        <v>576</v>
      </c>
      <c r="S18" s="5" t="s">
        <v>42</v>
      </c>
      <c r="T18" s="2">
        <v>408.76</v>
      </c>
      <c r="U18" s="2">
        <v>925.41</v>
      </c>
    </row>
    <row r="19" spans="17:21" x14ac:dyDescent="0.3">
      <c r="Q19" s="4" t="s">
        <v>29</v>
      </c>
      <c r="R19" s="2"/>
      <c r="S19" s="5" t="s">
        <v>61</v>
      </c>
      <c r="T19" s="2">
        <v>305.14999999999998</v>
      </c>
      <c r="U19" s="2">
        <v>634.1</v>
      </c>
    </row>
    <row r="20" spans="17:21" x14ac:dyDescent="0.3">
      <c r="Q20" s="5" t="s">
        <v>40</v>
      </c>
      <c r="R20" s="2">
        <v>3565.1448096063045</v>
      </c>
      <c r="S20" s="4" t="s">
        <v>27</v>
      </c>
      <c r="T20" s="2"/>
      <c r="U20" s="2"/>
    </row>
    <row r="21" spans="17:21" x14ac:dyDescent="0.3">
      <c r="Q21" s="5" t="s">
        <v>21</v>
      </c>
      <c r="R21" s="2">
        <v>9076.0614095947913</v>
      </c>
      <c r="S21" s="5" t="s">
        <v>70</v>
      </c>
      <c r="T21" s="2">
        <v>637.63</v>
      </c>
      <c r="U21" s="2">
        <v>1130.56</v>
      </c>
    </row>
    <row r="22" spans="17:21" x14ac:dyDescent="0.3">
      <c r="Q22" s="5" t="s">
        <v>28</v>
      </c>
      <c r="R22" s="2">
        <v>3342.2669839548803</v>
      </c>
      <c r="S22" s="5" t="s">
        <v>23</v>
      </c>
      <c r="T22" s="2">
        <v>472.56</v>
      </c>
      <c r="U22" s="2">
        <v>784.9</v>
      </c>
    </row>
    <row r="23" spans="17:21" x14ac:dyDescent="0.3">
      <c r="Q23" s="5" t="s">
        <v>34</v>
      </c>
      <c r="R23" s="2">
        <v>5259.2761256714912</v>
      </c>
      <c r="S23" s="5" t="s">
        <v>52</v>
      </c>
      <c r="T23" s="2">
        <v>482.16</v>
      </c>
      <c r="U23" s="2">
        <v>819.76</v>
      </c>
    </row>
    <row r="24" spans="17:21" x14ac:dyDescent="0.3">
      <c r="Q24" s="4" t="s">
        <v>41</v>
      </c>
      <c r="R24" s="2"/>
      <c r="S24" s="5" t="s">
        <v>42</v>
      </c>
      <c r="T24" s="2">
        <v>285.43</v>
      </c>
      <c r="U24" s="2">
        <v>555.91</v>
      </c>
    </row>
    <row r="25" spans="17:21" x14ac:dyDescent="0.3">
      <c r="Q25" s="5" t="s">
        <v>40</v>
      </c>
      <c r="R25" s="2">
        <v>3594.9806867954267</v>
      </c>
      <c r="S25" s="5" t="s">
        <v>61</v>
      </c>
      <c r="T25" s="2">
        <v>373.52</v>
      </c>
      <c r="U25" s="2">
        <v>731.55</v>
      </c>
    </row>
    <row r="26" spans="17:21" x14ac:dyDescent="0.3">
      <c r="Q26" s="5" t="s">
        <v>21</v>
      </c>
      <c r="R26" s="2">
        <v>3013.5838043200256</v>
      </c>
      <c r="S26" s="4" t="s">
        <v>56</v>
      </c>
      <c r="T26" s="2"/>
      <c r="U26" s="2"/>
    </row>
    <row r="27" spans="17:21" x14ac:dyDescent="0.3">
      <c r="Q27" s="5" t="s">
        <v>28</v>
      </c>
      <c r="R27" s="2">
        <v>5976.561070719672</v>
      </c>
      <c r="S27" s="5" t="s">
        <v>70</v>
      </c>
      <c r="T27" s="2">
        <v>330.81</v>
      </c>
      <c r="U27" s="2">
        <v>459.62</v>
      </c>
    </row>
    <row r="28" spans="17:21" x14ac:dyDescent="0.3">
      <c r="Q28" s="5" t="s">
        <v>34</v>
      </c>
      <c r="R28" s="2">
        <v>4587.948263813576</v>
      </c>
      <c r="S28" s="5" t="s">
        <v>23</v>
      </c>
      <c r="T28" s="2">
        <v>474.06</v>
      </c>
      <c r="U28" s="2">
        <v>841.12</v>
      </c>
    </row>
    <row r="29" spans="17:21" x14ac:dyDescent="0.3">
      <c r="Q29" s="4" t="s">
        <v>49</v>
      </c>
      <c r="R29" s="2"/>
      <c r="S29" s="5" t="s">
        <v>52</v>
      </c>
      <c r="T29" s="2">
        <v>469.7</v>
      </c>
      <c r="U29" s="2">
        <v>871.87</v>
      </c>
    </row>
    <row r="30" spans="17:21" x14ac:dyDescent="0.3">
      <c r="Q30" s="5" t="s">
        <v>40</v>
      </c>
      <c r="R30" s="2">
        <v>3120.1045767673845</v>
      </c>
      <c r="S30" s="5" t="s">
        <v>42</v>
      </c>
      <c r="T30" s="2">
        <v>345.99</v>
      </c>
      <c r="U30" s="2">
        <v>770.18</v>
      </c>
    </row>
    <row r="31" spans="17:21" x14ac:dyDescent="0.3">
      <c r="Q31" s="5" t="s">
        <v>21</v>
      </c>
      <c r="R31" s="2">
        <v>4013.8522733750365</v>
      </c>
      <c r="S31" s="5" t="s">
        <v>61</v>
      </c>
      <c r="T31" s="2">
        <v>470.71</v>
      </c>
      <c r="U31" s="2">
        <v>714.03</v>
      </c>
    </row>
    <row r="32" spans="17:21" x14ac:dyDescent="0.3">
      <c r="Q32" s="5" t="s">
        <v>28</v>
      </c>
      <c r="R32" s="2">
        <v>2604.2986354546424</v>
      </c>
      <c r="S32" s="4" t="s">
        <v>46</v>
      </c>
      <c r="T32" s="2"/>
      <c r="U32" s="2"/>
    </row>
    <row r="33" spans="17:21" x14ac:dyDescent="0.3">
      <c r="Q33" s="5" t="s">
        <v>34</v>
      </c>
      <c r="R33" s="2">
        <v>7612.6774419849717</v>
      </c>
      <c r="S33" s="5" t="s">
        <v>70</v>
      </c>
      <c r="T33" s="2">
        <v>329.75</v>
      </c>
      <c r="U33" s="2">
        <v>649.29999999999995</v>
      </c>
    </row>
    <row r="34" spans="17:21" x14ac:dyDescent="0.3">
      <c r="Q34" s="4" t="s">
        <v>22</v>
      </c>
      <c r="R34" s="2"/>
      <c r="S34" s="5" t="s">
        <v>23</v>
      </c>
      <c r="T34" s="2">
        <v>491.41</v>
      </c>
      <c r="U34" s="2">
        <v>786.39</v>
      </c>
    </row>
    <row r="35" spans="17:21" x14ac:dyDescent="0.3">
      <c r="Q35" s="5" t="s">
        <v>40</v>
      </c>
      <c r="R35" s="2">
        <v>8312.2571865945247</v>
      </c>
      <c r="S35" s="5" t="s">
        <v>52</v>
      </c>
      <c r="T35" s="2">
        <v>807.05</v>
      </c>
      <c r="U35" s="2">
        <v>1402.88</v>
      </c>
    </row>
    <row r="36" spans="17:21" x14ac:dyDescent="0.3">
      <c r="Q36" s="5" t="s">
        <v>21</v>
      </c>
      <c r="R36" s="2">
        <v>4861.9926817233227</v>
      </c>
      <c r="S36" s="5" t="s">
        <v>42</v>
      </c>
      <c r="T36" s="2">
        <v>514.92999999999995</v>
      </c>
      <c r="U36" s="2">
        <v>916.36</v>
      </c>
    </row>
    <row r="37" spans="17:21" x14ac:dyDescent="0.3">
      <c r="Q37" s="5" t="s">
        <v>28</v>
      </c>
      <c r="R37" s="2">
        <v>2187.1133083647433</v>
      </c>
      <c r="S37" s="5" t="s">
        <v>61</v>
      </c>
      <c r="T37" s="2">
        <v>371.64</v>
      </c>
      <c r="U37" s="2">
        <v>632.82000000000005</v>
      </c>
    </row>
    <row r="38" spans="17:21" x14ac:dyDescent="0.3">
      <c r="Q38" s="5" t="s">
        <v>34</v>
      </c>
      <c r="R38" s="2">
        <v>9360.3618818758641</v>
      </c>
      <c r="S38" s="4" t="s">
        <v>64</v>
      </c>
      <c r="T38" s="2"/>
      <c r="U38" s="2"/>
    </row>
    <row r="39" spans="17:21" x14ac:dyDescent="0.3">
      <c r="Q39" s="4" t="s">
        <v>47</v>
      </c>
      <c r="R39" s="2"/>
      <c r="S39" s="5" t="s">
        <v>70</v>
      </c>
      <c r="T39" s="2">
        <v>474.17</v>
      </c>
      <c r="U39" s="2">
        <v>877.07</v>
      </c>
    </row>
    <row r="40" spans="17:21" x14ac:dyDescent="0.3">
      <c r="Q40" s="5" t="s">
        <v>40</v>
      </c>
      <c r="R40" s="2">
        <v>2816.1700400795321</v>
      </c>
      <c r="S40" s="5" t="s">
        <v>23</v>
      </c>
      <c r="T40" s="2">
        <v>339.79</v>
      </c>
      <c r="U40" s="2">
        <v>600.97</v>
      </c>
    </row>
    <row r="41" spans="17:21" x14ac:dyDescent="0.3">
      <c r="Q41" s="5" t="s">
        <v>21</v>
      </c>
      <c r="R41" s="2">
        <v>4815.5409200707381</v>
      </c>
      <c r="S41" s="5" t="s">
        <v>52</v>
      </c>
      <c r="T41" s="2">
        <v>518.26</v>
      </c>
      <c r="U41" s="2">
        <v>978.95</v>
      </c>
    </row>
    <row r="42" spans="17:21" x14ac:dyDescent="0.3">
      <c r="Q42" s="5" t="s">
        <v>28</v>
      </c>
      <c r="R42" s="2">
        <v>8154.4513242173398</v>
      </c>
      <c r="S42" s="5" t="s">
        <v>42</v>
      </c>
      <c r="T42" s="2">
        <v>437.21</v>
      </c>
      <c r="U42" s="2">
        <v>701.97</v>
      </c>
    </row>
    <row r="43" spans="17:21" x14ac:dyDescent="0.3">
      <c r="Q43" s="5" t="s">
        <v>34</v>
      </c>
      <c r="R43" s="2">
        <v>3388.2320851937102</v>
      </c>
      <c r="S43" s="5" t="s">
        <v>61</v>
      </c>
      <c r="T43" s="2">
        <v>514.16999999999996</v>
      </c>
      <c r="U43" s="2">
        <v>715.12</v>
      </c>
    </row>
    <row r="44" spans="17:21" x14ac:dyDescent="0.3">
      <c r="Q44" s="4" t="s">
        <v>570</v>
      </c>
      <c r="R44" s="2">
        <v>99662.875510178055</v>
      </c>
      <c r="S44" s="4" t="s">
        <v>570</v>
      </c>
      <c r="T44" s="2">
        <v>13712.98</v>
      </c>
      <c r="U44" s="2">
        <v>24847.23</v>
      </c>
    </row>
  </sheetData>
  <conditionalFormatting sqref="Q22">
    <cfRule type="colorScale" priority="2">
      <colorScale>
        <cfvo type="min"/>
        <cfvo type="percentile" val="50"/>
        <cfvo type="max"/>
        <color rgb="FFF8696B"/>
        <color rgb="FFFFEB84"/>
        <color rgb="FF63BE7B"/>
      </colorScale>
    </cfRule>
  </conditionalFormatting>
  <conditionalFormatting pivot="1" sqref="R20:R23 R25:R28 R30:R33 R35:R38 R40:R43">
    <cfRule type="colorScale" priority="1">
      <colorScale>
        <cfvo type="min"/>
        <cfvo type="percentile" val="50"/>
        <cfvo type="max"/>
        <color rgb="FFF8696B"/>
        <color rgb="FFFFEB84"/>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A193-25CD-4009-875D-E5F28B54DC91}">
  <dimension ref="A1:T501"/>
  <sheetViews>
    <sheetView topLeftCell="J1" workbookViewId="0">
      <selection activeCell="W1" sqref="W1"/>
    </sheetView>
  </sheetViews>
  <sheetFormatPr defaultRowHeight="14.4" x14ac:dyDescent="0.3"/>
  <cols>
    <col min="1" max="1" width="7.21875" bestFit="1" customWidth="1"/>
    <col min="2" max="2" width="10.33203125" bestFit="1" customWidth="1"/>
    <col min="3" max="3" width="9.21875" bestFit="1" customWidth="1"/>
    <col min="4" max="4" width="5" bestFit="1" customWidth="1"/>
    <col min="5" max="5" width="12.21875" bestFit="1" customWidth="1"/>
    <col min="6" max="6" width="9.21875" bestFit="1" customWidth="1"/>
    <col min="7" max="7" width="7" bestFit="1" customWidth="1"/>
    <col min="8" max="8" width="10.44140625" bestFit="1" customWidth="1"/>
    <col min="9" max="9" width="14" bestFit="1" customWidth="1"/>
    <col min="10" max="10" width="18.44140625" bestFit="1" customWidth="1"/>
    <col min="11" max="11" width="12" bestFit="1" customWidth="1"/>
    <col min="12" max="12" width="13.33203125" bestFit="1" customWidth="1"/>
    <col min="13" max="13" width="12.88671875" bestFit="1" customWidth="1"/>
    <col min="14" max="14" width="16.6640625" bestFit="1" customWidth="1"/>
    <col min="15" max="15" width="12.33203125" bestFit="1" customWidth="1"/>
    <col min="16" max="16" width="8.5546875" bestFit="1" customWidth="1"/>
    <col min="17" max="17" width="19.5546875" bestFit="1" customWidth="1"/>
    <col min="18" max="18" width="12.44140625" bestFit="1" customWidth="1"/>
    <col min="19" max="19" width="11.21875" bestFit="1" customWidth="1"/>
    <col min="20" max="20" width="15" bestFit="1" customWidth="1"/>
  </cols>
  <sheetData>
    <row r="1" spans="1:20" x14ac:dyDescent="0.3">
      <c r="A1" s="6" t="s">
        <v>0</v>
      </c>
      <c r="B1" s="6" t="s">
        <v>1</v>
      </c>
      <c r="C1" s="6" t="s">
        <v>571</v>
      </c>
      <c r="D1" s="6" t="s">
        <v>2</v>
      </c>
      <c r="E1" s="6" t="s">
        <v>3</v>
      </c>
      <c r="F1" s="6" t="s">
        <v>4</v>
      </c>
      <c r="G1" s="6" t="s">
        <v>5</v>
      </c>
      <c r="H1" s="6" t="s">
        <v>6</v>
      </c>
      <c r="I1" s="6" t="s">
        <v>7</v>
      </c>
      <c r="J1" s="6" t="s">
        <v>8</v>
      </c>
      <c r="K1" s="6" t="s">
        <v>9</v>
      </c>
      <c r="L1" s="6" t="s">
        <v>10</v>
      </c>
      <c r="M1" s="6" t="s">
        <v>11</v>
      </c>
      <c r="N1" s="6" t="s">
        <v>12</v>
      </c>
      <c r="O1" s="6" t="s">
        <v>13</v>
      </c>
      <c r="P1" s="6" t="s">
        <v>14</v>
      </c>
      <c r="Q1" s="6" t="s">
        <v>15</v>
      </c>
      <c r="R1" s="6" t="s">
        <v>572</v>
      </c>
      <c r="S1" s="6" t="s">
        <v>573</v>
      </c>
      <c r="T1" s="7" t="s">
        <v>574</v>
      </c>
    </row>
    <row r="2" spans="1:20" x14ac:dyDescent="0.3">
      <c r="A2" s="8" t="s">
        <v>16</v>
      </c>
      <c r="B2" s="9">
        <v>2010</v>
      </c>
      <c r="C2" s="9" t="str">
        <f t="shared" ref="C2:C65" si="0">TEXT(B2,"YYYY-MM")</f>
        <v>1905-07</v>
      </c>
      <c r="D2" s="10">
        <v>2010</v>
      </c>
      <c r="E2" s="8" t="s">
        <v>17</v>
      </c>
      <c r="F2" s="8" t="s">
        <v>18</v>
      </c>
      <c r="G2" s="8" t="s">
        <v>19</v>
      </c>
      <c r="H2" s="8" t="s">
        <v>20</v>
      </c>
      <c r="I2" s="10">
        <v>25.24</v>
      </c>
      <c r="J2" s="10">
        <v>46.37</v>
      </c>
      <c r="K2" s="10">
        <v>1837.23</v>
      </c>
      <c r="L2" s="8" t="s">
        <v>21</v>
      </c>
      <c r="M2" s="8" t="s">
        <v>22</v>
      </c>
      <c r="N2" s="10">
        <v>219.17</v>
      </c>
      <c r="O2" s="10">
        <v>1092.18</v>
      </c>
      <c r="P2" s="8" t="s">
        <v>23</v>
      </c>
      <c r="Q2" s="10">
        <v>28.86</v>
      </c>
      <c r="R2" s="10">
        <f xml:space="preserve"> Table1_2[[#This Row],[Yield (Kg/Ha)]]/Table1_2[[#This Row],[Area (Hectares)]]</f>
        <v>72.790412044374008</v>
      </c>
      <c r="S2" s="10">
        <f>Table1_2[[#This Row],[Yield per Acre]]/Table1_2[[#This Row],[Yield (Kg/Ha)]]</f>
        <v>3.9619651347068144E-2</v>
      </c>
      <c r="T2" s="11">
        <f>Table1_2[[#This Row],[Yield per Acre]]/N2</f>
        <v>0.33211850182221114</v>
      </c>
    </row>
    <row r="3" spans="1:20" x14ac:dyDescent="0.3">
      <c r="A3" s="8" t="s">
        <v>24</v>
      </c>
      <c r="B3" s="9">
        <v>2013</v>
      </c>
      <c r="C3" s="9" t="str">
        <f t="shared" si="0"/>
        <v>1905-07</v>
      </c>
      <c r="D3" s="10">
        <v>2013</v>
      </c>
      <c r="E3" s="8" t="s">
        <v>25</v>
      </c>
      <c r="F3" s="8" t="s">
        <v>26</v>
      </c>
      <c r="G3" s="8" t="s">
        <v>19</v>
      </c>
      <c r="H3" s="8" t="s">
        <v>27</v>
      </c>
      <c r="I3" s="10">
        <v>3.63</v>
      </c>
      <c r="J3" s="10">
        <v>7.96</v>
      </c>
      <c r="K3" s="10">
        <v>2193.0300000000002</v>
      </c>
      <c r="L3" s="8" t="s">
        <v>28</v>
      </c>
      <c r="M3" s="8" t="s">
        <v>29</v>
      </c>
      <c r="N3" s="10">
        <v>105.11</v>
      </c>
      <c r="O3" s="10">
        <v>789.27</v>
      </c>
      <c r="P3" s="8" t="s">
        <v>23</v>
      </c>
      <c r="Q3" s="10">
        <v>31.38</v>
      </c>
      <c r="R3" s="10">
        <f xml:space="preserve"> Table1_2[[#This Row],[Yield (Kg/Ha)]]/Table1_2[[#This Row],[Area (Hectares)]]</f>
        <v>604.14049586776866</v>
      </c>
      <c r="S3" s="10">
        <f>Table1_2[[#This Row],[Yield per Acre]]/Table1_2[[#This Row],[Yield (Kg/Ha)]]</f>
        <v>0.27548209366391185</v>
      </c>
      <c r="T3" s="11">
        <f>Table1_2[[#This Row],[Yield per Acre]]/N3</f>
        <v>5.7476976107674691</v>
      </c>
    </row>
    <row r="4" spans="1:20" x14ac:dyDescent="0.3">
      <c r="A4" s="8" t="s">
        <v>30</v>
      </c>
      <c r="B4" s="9">
        <v>2012</v>
      </c>
      <c r="C4" s="9" t="str">
        <f t="shared" si="0"/>
        <v>1905-07</v>
      </c>
      <c r="D4" s="10">
        <v>2012</v>
      </c>
      <c r="E4" s="8" t="s">
        <v>31</v>
      </c>
      <c r="F4" s="8" t="s">
        <v>32</v>
      </c>
      <c r="G4" s="8" t="s">
        <v>33</v>
      </c>
      <c r="H4" s="8" t="s">
        <v>20</v>
      </c>
      <c r="I4" s="10">
        <v>11.12</v>
      </c>
      <c r="J4" s="10">
        <v>36.47</v>
      </c>
      <c r="K4" s="10">
        <v>3279.56</v>
      </c>
      <c r="L4" s="8" t="s">
        <v>34</v>
      </c>
      <c r="M4" s="8" t="s">
        <v>22</v>
      </c>
      <c r="N4" s="10">
        <v>261.87</v>
      </c>
      <c r="O4" s="10">
        <v>803.73</v>
      </c>
      <c r="P4" s="8" t="s">
        <v>23</v>
      </c>
      <c r="Q4" s="10">
        <v>30.95</v>
      </c>
      <c r="R4" s="10">
        <f xml:space="preserve"> Table1_2[[#This Row],[Yield (Kg/Ha)]]/Table1_2[[#This Row],[Area (Hectares)]]</f>
        <v>294.92446043165467</v>
      </c>
      <c r="S4" s="10">
        <f>Table1_2[[#This Row],[Yield per Acre]]/Table1_2[[#This Row],[Yield (Kg/Ha)]]</f>
        <v>8.9928057553956831E-2</v>
      </c>
      <c r="T4" s="11">
        <f>Table1_2[[#This Row],[Yield per Acre]]/N4</f>
        <v>1.1262246932892452</v>
      </c>
    </row>
    <row r="5" spans="1:20" x14ac:dyDescent="0.3">
      <c r="A5" s="8" t="s">
        <v>35</v>
      </c>
      <c r="B5" s="9">
        <v>2018</v>
      </c>
      <c r="C5" s="9" t="str">
        <f t="shared" si="0"/>
        <v>1905-07</v>
      </c>
      <c r="D5" s="10">
        <v>2018</v>
      </c>
      <c r="E5" s="8" t="s">
        <v>36</v>
      </c>
      <c r="F5" s="8" t="s">
        <v>37</v>
      </c>
      <c r="G5" s="8" t="s">
        <v>38</v>
      </c>
      <c r="H5" s="8" t="s">
        <v>39</v>
      </c>
      <c r="I5" s="10">
        <v>62.23</v>
      </c>
      <c r="J5" s="10">
        <v>383.97</v>
      </c>
      <c r="K5" s="10">
        <v>6170.24</v>
      </c>
      <c r="L5" s="8" t="s">
        <v>40</v>
      </c>
      <c r="M5" s="8" t="s">
        <v>41</v>
      </c>
      <c r="N5" s="10">
        <v>226.14</v>
      </c>
      <c r="O5" s="10">
        <v>245.82</v>
      </c>
      <c r="P5" s="8" t="s">
        <v>42</v>
      </c>
      <c r="Q5" s="10">
        <v>31.6</v>
      </c>
      <c r="R5" s="10">
        <f xml:space="preserve"> Table1_2[[#This Row],[Yield (Kg/Ha)]]/Table1_2[[#This Row],[Area (Hectares)]]</f>
        <v>99.152177406395637</v>
      </c>
      <c r="S5" s="10">
        <f>Table1_2[[#This Row],[Yield per Acre]]/Table1_2[[#This Row],[Yield (Kg/Ha)]]</f>
        <v>1.6069419893941832E-2</v>
      </c>
      <c r="T5" s="11">
        <f>Table1_2[[#This Row],[Yield per Acre]]/N5</f>
        <v>0.43845483950824993</v>
      </c>
    </row>
    <row r="6" spans="1:20" x14ac:dyDescent="0.3">
      <c r="A6" s="8" t="s">
        <v>43</v>
      </c>
      <c r="B6" s="9">
        <v>2016</v>
      </c>
      <c r="C6" s="9" t="str">
        <f t="shared" si="0"/>
        <v>1905-07</v>
      </c>
      <c r="D6" s="10">
        <v>2016</v>
      </c>
      <c r="E6" s="8" t="s">
        <v>44</v>
      </c>
      <c r="F6" s="8" t="s">
        <v>45</v>
      </c>
      <c r="G6" s="8" t="s">
        <v>38</v>
      </c>
      <c r="H6" s="8" t="s">
        <v>46</v>
      </c>
      <c r="I6" s="10">
        <v>63.93</v>
      </c>
      <c r="J6" s="10">
        <v>203.87</v>
      </c>
      <c r="K6" s="10">
        <v>3188.99</v>
      </c>
      <c r="L6" s="8" t="s">
        <v>34</v>
      </c>
      <c r="M6" s="8" t="s">
        <v>47</v>
      </c>
      <c r="N6" s="10">
        <v>138.82</v>
      </c>
      <c r="O6" s="10">
        <v>870.18</v>
      </c>
      <c r="P6" s="8" t="s">
        <v>23</v>
      </c>
      <c r="Q6" s="10">
        <v>29.14</v>
      </c>
      <c r="R6" s="10">
        <f xml:space="preserve"> Table1_2[[#This Row],[Yield (Kg/Ha)]]/Table1_2[[#This Row],[Area (Hectares)]]</f>
        <v>49.882527764742683</v>
      </c>
      <c r="S6" s="10">
        <f>Table1_2[[#This Row],[Yield per Acre]]/Table1_2[[#This Row],[Yield (Kg/Ha)]]</f>
        <v>1.5642108556233381E-2</v>
      </c>
      <c r="T6" s="11">
        <f>Table1_2[[#This Row],[Yield per Acre]]/N6</f>
        <v>0.35933242879082761</v>
      </c>
    </row>
    <row r="7" spans="1:20" x14ac:dyDescent="0.3">
      <c r="A7" s="8" t="s">
        <v>48</v>
      </c>
      <c r="B7" s="9">
        <v>2012</v>
      </c>
      <c r="C7" s="9" t="str">
        <f t="shared" si="0"/>
        <v>1905-07</v>
      </c>
      <c r="D7" s="10">
        <v>2012</v>
      </c>
      <c r="E7" s="8" t="s">
        <v>17</v>
      </c>
      <c r="F7" s="8" t="s">
        <v>18</v>
      </c>
      <c r="G7" s="8" t="s">
        <v>38</v>
      </c>
      <c r="H7" s="8" t="s">
        <v>46</v>
      </c>
      <c r="I7" s="10">
        <v>27.72</v>
      </c>
      <c r="J7" s="10">
        <v>181.63</v>
      </c>
      <c r="K7" s="10">
        <v>6552.35</v>
      </c>
      <c r="L7" s="8" t="s">
        <v>40</v>
      </c>
      <c r="M7" s="8" t="s">
        <v>49</v>
      </c>
      <c r="N7" s="10">
        <v>221.15</v>
      </c>
      <c r="O7" s="10">
        <v>1042.8499999999999</v>
      </c>
      <c r="P7" s="8" t="s">
        <v>23</v>
      </c>
      <c r="Q7" s="10">
        <v>23.44</v>
      </c>
      <c r="R7" s="10">
        <f xml:space="preserve"> Table1_2[[#This Row],[Yield (Kg/Ha)]]/Table1_2[[#This Row],[Area (Hectares)]]</f>
        <v>236.37626262626264</v>
      </c>
      <c r="S7" s="10">
        <f>Table1_2[[#This Row],[Yield per Acre]]/Table1_2[[#This Row],[Yield (Kg/Ha)]]</f>
        <v>3.6075036075036072E-2</v>
      </c>
      <c r="T7" s="11">
        <f>Table1_2[[#This Row],[Yield per Acre]]/N7</f>
        <v>1.0688503849254472</v>
      </c>
    </row>
    <row r="8" spans="1:20" x14ac:dyDescent="0.3">
      <c r="A8" s="8" t="s">
        <v>50</v>
      </c>
      <c r="B8" s="9">
        <v>2011</v>
      </c>
      <c r="C8" s="9" t="str">
        <f t="shared" si="0"/>
        <v>1905-07</v>
      </c>
      <c r="D8" s="10">
        <v>2011</v>
      </c>
      <c r="E8" s="8" t="s">
        <v>36</v>
      </c>
      <c r="F8" s="8" t="s">
        <v>51</v>
      </c>
      <c r="G8" s="8" t="s">
        <v>33</v>
      </c>
      <c r="H8" s="8" t="s">
        <v>27</v>
      </c>
      <c r="I8" s="10">
        <v>87.76</v>
      </c>
      <c r="J8" s="10">
        <v>253.46</v>
      </c>
      <c r="K8" s="10">
        <v>2888.07</v>
      </c>
      <c r="L8" s="8" t="s">
        <v>28</v>
      </c>
      <c r="M8" s="8" t="s">
        <v>41</v>
      </c>
      <c r="N8" s="10">
        <v>148.91</v>
      </c>
      <c r="O8" s="10">
        <v>1114.55</v>
      </c>
      <c r="P8" s="8" t="s">
        <v>52</v>
      </c>
      <c r="Q8" s="10">
        <v>22.14</v>
      </c>
      <c r="R8" s="10">
        <f xml:space="preserve"> Table1_2[[#This Row],[Yield (Kg/Ha)]]/Table1_2[[#This Row],[Area (Hectares)]]</f>
        <v>32.908728350045578</v>
      </c>
      <c r="S8" s="10">
        <f>Table1_2[[#This Row],[Yield per Acre]]/Table1_2[[#This Row],[Yield (Kg/Ha)]]</f>
        <v>1.1394712853236098E-2</v>
      </c>
      <c r="T8" s="11">
        <f>Table1_2[[#This Row],[Yield per Acre]]/N8</f>
        <v>0.22099743704281499</v>
      </c>
    </row>
    <row r="9" spans="1:20" x14ac:dyDescent="0.3">
      <c r="A9" s="8" t="s">
        <v>53</v>
      </c>
      <c r="B9" s="9">
        <v>2018</v>
      </c>
      <c r="C9" s="9" t="str">
        <f t="shared" si="0"/>
        <v>1905-07</v>
      </c>
      <c r="D9" s="10">
        <v>2018</v>
      </c>
      <c r="E9" s="8" t="s">
        <v>17</v>
      </c>
      <c r="F9" s="8" t="s">
        <v>54</v>
      </c>
      <c r="G9" s="8" t="s">
        <v>38</v>
      </c>
      <c r="H9" s="8" t="s">
        <v>39</v>
      </c>
      <c r="I9" s="10">
        <v>58.87</v>
      </c>
      <c r="J9" s="10">
        <v>376</v>
      </c>
      <c r="K9" s="10">
        <v>6386.94</v>
      </c>
      <c r="L9" s="8" t="s">
        <v>28</v>
      </c>
      <c r="M9" s="8" t="s">
        <v>22</v>
      </c>
      <c r="N9" s="10">
        <v>140.5</v>
      </c>
      <c r="O9" s="10">
        <v>1197.33</v>
      </c>
      <c r="P9" s="8" t="s">
        <v>42</v>
      </c>
      <c r="Q9" s="10">
        <v>27.64</v>
      </c>
      <c r="R9" s="10">
        <f xml:space="preserve"> Table1_2[[#This Row],[Yield (Kg/Ha)]]/Table1_2[[#This Row],[Area (Hectares)]]</f>
        <v>108.49227110582639</v>
      </c>
      <c r="S9" s="10">
        <f>Table1_2[[#This Row],[Yield per Acre]]/Table1_2[[#This Row],[Yield (Kg/Ha)]]</f>
        <v>1.6986580601324953E-2</v>
      </c>
      <c r="T9" s="11">
        <f>Table1_2[[#This Row],[Yield per Acre]]/N9</f>
        <v>0.77218698295961841</v>
      </c>
    </row>
    <row r="10" spans="1:20" x14ac:dyDescent="0.3">
      <c r="A10" s="8" t="s">
        <v>55</v>
      </c>
      <c r="B10" s="9">
        <v>2012</v>
      </c>
      <c r="C10" s="9" t="str">
        <f t="shared" si="0"/>
        <v>1905-07</v>
      </c>
      <c r="D10" s="10">
        <v>2012</v>
      </c>
      <c r="E10" s="8" t="s">
        <v>44</v>
      </c>
      <c r="F10" s="8" t="s">
        <v>45</v>
      </c>
      <c r="G10" s="8" t="s">
        <v>19</v>
      </c>
      <c r="H10" s="8" t="s">
        <v>56</v>
      </c>
      <c r="I10" s="10">
        <v>79.42</v>
      </c>
      <c r="J10" s="10">
        <v>280.58999999999997</v>
      </c>
      <c r="K10" s="10">
        <v>3532.96</v>
      </c>
      <c r="L10" s="8" t="s">
        <v>21</v>
      </c>
      <c r="M10" s="8" t="s">
        <v>22</v>
      </c>
      <c r="N10" s="10">
        <v>146.19</v>
      </c>
      <c r="O10" s="10">
        <v>795.89</v>
      </c>
      <c r="P10" s="8" t="s">
        <v>52</v>
      </c>
      <c r="Q10" s="10">
        <v>27.94</v>
      </c>
      <c r="R10" s="10">
        <f xml:space="preserve"> Table1_2[[#This Row],[Yield (Kg/Ha)]]/Table1_2[[#This Row],[Area (Hectares)]]</f>
        <v>44.484512717199699</v>
      </c>
      <c r="S10" s="10">
        <f>Table1_2[[#This Row],[Yield per Acre]]/Table1_2[[#This Row],[Yield (Kg/Ha)]]</f>
        <v>1.2591286829513977E-2</v>
      </c>
      <c r="T10" s="11">
        <f>Table1_2[[#This Row],[Yield per Acre]]/N10</f>
        <v>0.30429244624939938</v>
      </c>
    </row>
    <row r="11" spans="1:20" x14ac:dyDescent="0.3">
      <c r="A11" s="8" t="s">
        <v>57</v>
      </c>
      <c r="B11" s="9">
        <v>2011</v>
      </c>
      <c r="C11" s="9" t="str">
        <f t="shared" si="0"/>
        <v>1905-07</v>
      </c>
      <c r="D11" s="10">
        <v>2011</v>
      </c>
      <c r="E11" s="8" t="s">
        <v>17</v>
      </c>
      <c r="F11" s="8" t="s">
        <v>54</v>
      </c>
      <c r="G11" s="8" t="s">
        <v>19</v>
      </c>
      <c r="H11" s="8" t="s">
        <v>27</v>
      </c>
      <c r="I11" s="10">
        <v>75.34</v>
      </c>
      <c r="J11" s="10">
        <v>422.78</v>
      </c>
      <c r="K11" s="10">
        <v>5611.59</v>
      </c>
      <c r="L11" s="8" t="s">
        <v>34</v>
      </c>
      <c r="M11" s="8" t="s">
        <v>49</v>
      </c>
      <c r="N11" s="10">
        <v>77.89</v>
      </c>
      <c r="O11" s="10">
        <v>634.77</v>
      </c>
      <c r="P11" s="8" t="s">
        <v>52</v>
      </c>
      <c r="Q11" s="10">
        <v>20.05</v>
      </c>
      <c r="R11" s="10">
        <f xml:space="preserve"> Table1_2[[#This Row],[Yield (Kg/Ha)]]/Table1_2[[#This Row],[Area (Hectares)]]</f>
        <v>74.483541279532787</v>
      </c>
      <c r="S11" s="10">
        <f>Table1_2[[#This Row],[Yield per Acre]]/Table1_2[[#This Row],[Yield (Kg/Ha)]]</f>
        <v>1.3273161667109106E-2</v>
      </c>
      <c r="T11" s="11">
        <f>Table1_2[[#This Row],[Yield per Acre]]/N11</f>
        <v>0.95626577583172145</v>
      </c>
    </row>
    <row r="12" spans="1:20" x14ac:dyDescent="0.3">
      <c r="A12" s="8" t="s">
        <v>58</v>
      </c>
      <c r="B12" s="9">
        <v>2018</v>
      </c>
      <c r="C12" s="9" t="str">
        <f t="shared" si="0"/>
        <v>1905-07</v>
      </c>
      <c r="D12" s="10">
        <v>2018</v>
      </c>
      <c r="E12" s="8" t="s">
        <v>59</v>
      </c>
      <c r="F12" s="8" t="s">
        <v>60</v>
      </c>
      <c r="G12" s="8" t="s">
        <v>33</v>
      </c>
      <c r="H12" s="8" t="s">
        <v>39</v>
      </c>
      <c r="I12" s="10">
        <v>30.55</v>
      </c>
      <c r="J12" s="10">
        <v>147.66999999999999</v>
      </c>
      <c r="K12" s="10">
        <v>4833.7</v>
      </c>
      <c r="L12" s="8" t="s">
        <v>40</v>
      </c>
      <c r="M12" s="8" t="s">
        <v>22</v>
      </c>
      <c r="N12" s="10">
        <v>88.21</v>
      </c>
      <c r="O12" s="10">
        <v>962.51</v>
      </c>
      <c r="P12" s="8" t="s">
        <v>61</v>
      </c>
      <c r="Q12" s="10">
        <v>34.299999999999997</v>
      </c>
      <c r="R12" s="10">
        <f xml:space="preserve"> Table1_2[[#This Row],[Yield (Kg/Ha)]]/Table1_2[[#This Row],[Area (Hectares)]]</f>
        <v>158.22258592471357</v>
      </c>
      <c r="S12" s="10">
        <f>Table1_2[[#This Row],[Yield per Acre]]/Table1_2[[#This Row],[Yield (Kg/Ha)]]</f>
        <v>3.273322422258592E-2</v>
      </c>
      <c r="T12" s="11">
        <f>Table1_2[[#This Row],[Yield per Acre]]/N12</f>
        <v>1.7937035021507037</v>
      </c>
    </row>
    <row r="13" spans="1:20" x14ac:dyDescent="0.3">
      <c r="A13" s="8" t="s">
        <v>62</v>
      </c>
      <c r="B13" s="9">
        <v>2017</v>
      </c>
      <c r="C13" s="9" t="str">
        <f t="shared" si="0"/>
        <v>1905-07</v>
      </c>
      <c r="D13" s="10">
        <v>2017</v>
      </c>
      <c r="E13" s="8" t="s">
        <v>59</v>
      </c>
      <c r="F13" s="8" t="s">
        <v>63</v>
      </c>
      <c r="G13" s="8" t="s">
        <v>33</v>
      </c>
      <c r="H13" s="8" t="s">
        <v>64</v>
      </c>
      <c r="I13" s="10">
        <v>92.98</v>
      </c>
      <c r="J13" s="10">
        <v>583.20000000000005</v>
      </c>
      <c r="K13" s="10">
        <v>6272.33</v>
      </c>
      <c r="L13" s="8" t="s">
        <v>34</v>
      </c>
      <c r="M13" s="8" t="s">
        <v>29</v>
      </c>
      <c r="N13" s="10">
        <v>109.86</v>
      </c>
      <c r="O13" s="10">
        <v>440.87</v>
      </c>
      <c r="P13" s="8" t="s">
        <v>61</v>
      </c>
      <c r="Q13" s="10">
        <v>34.200000000000003</v>
      </c>
      <c r="R13" s="10">
        <f xml:space="preserve"> Table1_2[[#This Row],[Yield (Kg/Ha)]]/Table1_2[[#This Row],[Area (Hectares)]]</f>
        <v>67.458915895891579</v>
      </c>
      <c r="S13" s="10">
        <f>Table1_2[[#This Row],[Yield per Acre]]/Table1_2[[#This Row],[Yield (Kg/Ha)]]</f>
        <v>1.0755001075500106E-2</v>
      </c>
      <c r="T13" s="11">
        <f>Table1_2[[#This Row],[Yield per Acre]]/N13</f>
        <v>0.61404438281350426</v>
      </c>
    </row>
    <row r="14" spans="1:20" x14ac:dyDescent="0.3">
      <c r="A14" s="8" t="s">
        <v>65</v>
      </c>
      <c r="B14" s="9">
        <v>2022</v>
      </c>
      <c r="C14" s="9" t="str">
        <f t="shared" si="0"/>
        <v>1905-07</v>
      </c>
      <c r="D14" s="10">
        <v>2022</v>
      </c>
      <c r="E14" s="8" t="s">
        <v>44</v>
      </c>
      <c r="F14" s="8" t="s">
        <v>45</v>
      </c>
      <c r="G14" s="8" t="s">
        <v>19</v>
      </c>
      <c r="H14" s="8" t="s">
        <v>56</v>
      </c>
      <c r="I14" s="10">
        <v>13.71</v>
      </c>
      <c r="J14" s="10">
        <v>52.81</v>
      </c>
      <c r="K14" s="10">
        <v>3851.69</v>
      </c>
      <c r="L14" s="8" t="s">
        <v>40</v>
      </c>
      <c r="M14" s="8" t="s">
        <v>47</v>
      </c>
      <c r="N14" s="10">
        <v>116.26</v>
      </c>
      <c r="O14" s="10">
        <v>1072.43</v>
      </c>
      <c r="P14" s="8" t="s">
        <v>52</v>
      </c>
      <c r="Q14" s="10">
        <v>34.47</v>
      </c>
      <c r="R14" s="10">
        <f xml:space="preserve"> Table1_2[[#This Row],[Yield (Kg/Ha)]]/Table1_2[[#This Row],[Area (Hectares)]]</f>
        <v>280.94018964259664</v>
      </c>
      <c r="S14" s="10">
        <f>Table1_2[[#This Row],[Yield per Acre]]/Table1_2[[#This Row],[Yield (Kg/Ha)]]</f>
        <v>7.2939460247994164E-2</v>
      </c>
      <c r="T14" s="11">
        <f>Table1_2[[#This Row],[Yield per Acre]]/N14</f>
        <v>2.4164819339635009</v>
      </c>
    </row>
    <row r="15" spans="1:20" x14ac:dyDescent="0.3">
      <c r="A15" s="8" t="s">
        <v>66</v>
      </c>
      <c r="B15" s="9">
        <v>2021</v>
      </c>
      <c r="C15" s="9" t="str">
        <f t="shared" si="0"/>
        <v>1905-07</v>
      </c>
      <c r="D15" s="10">
        <v>2021</v>
      </c>
      <c r="E15" s="8" t="s">
        <v>44</v>
      </c>
      <c r="F15" s="8" t="s">
        <v>67</v>
      </c>
      <c r="G15" s="8" t="s">
        <v>33</v>
      </c>
      <c r="H15" s="8" t="s">
        <v>39</v>
      </c>
      <c r="I15" s="10">
        <v>31.86</v>
      </c>
      <c r="J15" s="10">
        <v>222.09</v>
      </c>
      <c r="K15" s="10">
        <v>6970.9</v>
      </c>
      <c r="L15" s="8" t="s">
        <v>34</v>
      </c>
      <c r="M15" s="8" t="s">
        <v>49</v>
      </c>
      <c r="N15" s="10">
        <v>159.53</v>
      </c>
      <c r="O15" s="10">
        <v>717.58</v>
      </c>
      <c r="P15" s="8" t="s">
        <v>23</v>
      </c>
      <c r="Q15" s="10">
        <v>23.72</v>
      </c>
      <c r="R15" s="10">
        <f xml:space="preserve"> Table1_2[[#This Row],[Yield (Kg/Ha)]]/Table1_2[[#This Row],[Area (Hectares)]]</f>
        <v>218.79786566227244</v>
      </c>
      <c r="S15" s="10">
        <f>Table1_2[[#This Row],[Yield per Acre]]/Table1_2[[#This Row],[Yield (Kg/Ha)]]</f>
        <v>3.1387319522912745E-2</v>
      </c>
      <c r="T15" s="11">
        <f>Table1_2[[#This Row],[Yield per Acre]]/N15</f>
        <v>1.3715154871326549</v>
      </c>
    </row>
    <row r="16" spans="1:20" x14ac:dyDescent="0.3">
      <c r="A16" s="8" t="s">
        <v>68</v>
      </c>
      <c r="B16" s="9">
        <v>2018</v>
      </c>
      <c r="C16" s="9" t="str">
        <f t="shared" si="0"/>
        <v>1905-07</v>
      </c>
      <c r="D16" s="10">
        <v>2018</v>
      </c>
      <c r="E16" s="8" t="s">
        <v>25</v>
      </c>
      <c r="F16" s="8" t="s">
        <v>69</v>
      </c>
      <c r="G16" s="8" t="s">
        <v>33</v>
      </c>
      <c r="H16" s="8" t="s">
        <v>27</v>
      </c>
      <c r="I16" s="10">
        <v>22.8</v>
      </c>
      <c r="J16" s="10">
        <v>32.51</v>
      </c>
      <c r="K16" s="10">
        <v>1425.96</v>
      </c>
      <c r="L16" s="8" t="s">
        <v>21</v>
      </c>
      <c r="M16" s="8" t="s">
        <v>49</v>
      </c>
      <c r="N16" s="10">
        <v>107.24</v>
      </c>
      <c r="O16" s="10">
        <v>1105.42</v>
      </c>
      <c r="P16" s="8" t="s">
        <v>70</v>
      </c>
      <c r="Q16" s="10">
        <v>21.06</v>
      </c>
      <c r="R16" s="10">
        <f xml:space="preserve"> Table1_2[[#This Row],[Yield (Kg/Ha)]]/Table1_2[[#This Row],[Area (Hectares)]]</f>
        <v>62.542105263157893</v>
      </c>
      <c r="S16" s="10">
        <f>Table1_2[[#This Row],[Yield per Acre]]/Table1_2[[#This Row],[Yield (Kg/Ha)]]</f>
        <v>4.3859649122807015E-2</v>
      </c>
      <c r="T16" s="11">
        <f>Table1_2[[#This Row],[Yield per Acre]]/N16</f>
        <v>0.58319755001079721</v>
      </c>
    </row>
    <row r="17" spans="1:20" x14ac:dyDescent="0.3">
      <c r="A17" s="8" t="s">
        <v>71</v>
      </c>
      <c r="B17" s="9">
        <v>2013</v>
      </c>
      <c r="C17" s="9" t="str">
        <f t="shared" si="0"/>
        <v>1905-07</v>
      </c>
      <c r="D17" s="10">
        <v>2013</v>
      </c>
      <c r="E17" s="8" t="s">
        <v>17</v>
      </c>
      <c r="F17" s="8" t="s">
        <v>72</v>
      </c>
      <c r="G17" s="8" t="s">
        <v>19</v>
      </c>
      <c r="H17" s="8" t="s">
        <v>56</v>
      </c>
      <c r="I17" s="10">
        <v>72.61</v>
      </c>
      <c r="J17" s="10">
        <v>457.03</v>
      </c>
      <c r="K17" s="10">
        <v>6294.3</v>
      </c>
      <c r="L17" s="8" t="s">
        <v>28</v>
      </c>
      <c r="M17" s="8" t="s">
        <v>29</v>
      </c>
      <c r="N17" s="10">
        <v>110.75</v>
      </c>
      <c r="O17" s="10">
        <v>672.97</v>
      </c>
      <c r="P17" s="8" t="s">
        <v>52</v>
      </c>
      <c r="Q17" s="10">
        <v>22.86</v>
      </c>
      <c r="R17" s="10">
        <f xml:space="preserve"> Table1_2[[#This Row],[Yield (Kg/Ha)]]/Table1_2[[#This Row],[Area (Hectares)]]</f>
        <v>86.68640683101502</v>
      </c>
      <c r="S17" s="10">
        <f>Table1_2[[#This Row],[Yield per Acre]]/Table1_2[[#This Row],[Yield (Kg/Ha)]]</f>
        <v>1.377220768489189E-2</v>
      </c>
      <c r="T17" s="11">
        <f>Table1_2[[#This Row],[Yield per Acre]]/N17</f>
        <v>0.78272150637485349</v>
      </c>
    </row>
    <row r="18" spans="1:20" x14ac:dyDescent="0.3">
      <c r="A18" s="8" t="s">
        <v>73</v>
      </c>
      <c r="B18" s="9">
        <v>2016</v>
      </c>
      <c r="C18" s="9" t="str">
        <f t="shared" si="0"/>
        <v>1905-07</v>
      </c>
      <c r="D18" s="10">
        <v>2016</v>
      </c>
      <c r="E18" s="8" t="s">
        <v>31</v>
      </c>
      <c r="F18" s="8" t="s">
        <v>32</v>
      </c>
      <c r="G18" s="8" t="s">
        <v>38</v>
      </c>
      <c r="H18" s="8" t="s">
        <v>39</v>
      </c>
      <c r="I18" s="10">
        <v>6.36</v>
      </c>
      <c r="J18" s="10">
        <v>31.3</v>
      </c>
      <c r="K18" s="10">
        <v>4920.7299999999996</v>
      </c>
      <c r="L18" s="8" t="s">
        <v>21</v>
      </c>
      <c r="M18" s="8" t="s">
        <v>47</v>
      </c>
      <c r="N18" s="10">
        <v>65.150000000000006</v>
      </c>
      <c r="O18" s="10">
        <v>928.21</v>
      </c>
      <c r="P18" s="8" t="s">
        <v>23</v>
      </c>
      <c r="Q18" s="10">
        <v>23.73</v>
      </c>
      <c r="R18" s="10">
        <f xml:space="preserve"> Table1_2[[#This Row],[Yield (Kg/Ha)]]/Table1_2[[#This Row],[Area (Hectares)]]</f>
        <v>773.69968553459114</v>
      </c>
      <c r="S18" s="10">
        <f>Table1_2[[#This Row],[Yield per Acre]]/Table1_2[[#This Row],[Yield (Kg/Ha)]]</f>
        <v>0.15723270440251572</v>
      </c>
      <c r="T18" s="11">
        <f>Table1_2[[#This Row],[Yield per Acre]]/N18</f>
        <v>11.875666700454198</v>
      </c>
    </row>
    <row r="19" spans="1:20" x14ac:dyDescent="0.3">
      <c r="A19" s="8" t="s">
        <v>74</v>
      </c>
      <c r="B19" s="9">
        <v>2016</v>
      </c>
      <c r="C19" s="9" t="str">
        <f t="shared" si="0"/>
        <v>1905-07</v>
      </c>
      <c r="D19" s="10">
        <v>2016</v>
      </c>
      <c r="E19" s="8" t="s">
        <v>36</v>
      </c>
      <c r="F19" s="8" t="s">
        <v>37</v>
      </c>
      <c r="G19" s="8" t="s">
        <v>33</v>
      </c>
      <c r="H19" s="8" t="s">
        <v>20</v>
      </c>
      <c r="I19" s="10">
        <v>46.8</v>
      </c>
      <c r="J19" s="10">
        <v>292.36</v>
      </c>
      <c r="K19" s="10">
        <v>6246.92</v>
      </c>
      <c r="L19" s="8" t="s">
        <v>21</v>
      </c>
      <c r="M19" s="8" t="s">
        <v>22</v>
      </c>
      <c r="N19" s="10">
        <v>160.78</v>
      </c>
      <c r="O19" s="10">
        <v>1061.3499999999999</v>
      </c>
      <c r="P19" s="8" t="s">
        <v>61</v>
      </c>
      <c r="Q19" s="10">
        <v>21.47</v>
      </c>
      <c r="R19" s="10">
        <f xml:space="preserve"> Table1_2[[#This Row],[Yield (Kg/Ha)]]/Table1_2[[#This Row],[Area (Hectares)]]</f>
        <v>133.4811965811966</v>
      </c>
      <c r="S19" s="10">
        <f>Table1_2[[#This Row],[Yield per Acre]]/Table1_2[[#This Row],[Yield (Kg/Ha)]]</f>
        <v>2.1367521367521371E-2</v>
      </c>
      <c r="T19" s="11">
        <f>Table1_2[[#This Row],[Yield per Acre]]/N19</f>
        <v>0.83021020388852218</v>
      </c>
    </row>
    <row r="20" spans="1:20" x14ac:dyDescent="0.3">
      <c r="A20" s="8" t="s">
        <v>75</v>
      </c>
      <c r="B20" s="9">
        <v>2013</v>
      </c>
      <c r="C20" s="9" t="str">
        <f t="shared" si="0"/>
        <v>1905-07</v>
      </c>
      <c r="D20" s="10">
        <v>2012</v>
      </c>
      <c r="E20" s="8" t="s">
        <v>25</v>
      </c>
      <c r="F20" s="8" t="s">
        <v>26</v>
      </c>
      <c r="G20" s="8" t="s">
        <v>38</v>
      </c>
      <c r="H20" s="8" t="s">
        <v>46</v>
      </c>
      <c r="I20" s="10">
        <v>48.65</v>
      </c>
      <c r="J20" s="10">
        <v>301.04000000000002</v>
      </c>
      <c r="K20" s="10">
        <v>6187.9</v>
      </c>
      <c r="L20" s="8" t="s">
        <v>21</v>
      </c>
      <c r="M20" s="8" t="s">
        <v>49</v>
      </c>
      <c r="N20" s="10">
        <v>91.16</v>
      </c>
      <c r="O20" s="10">
        <v>202.16</v>
      </c>
      <c r="P20" s="8" t="s">
        <v>52</v>
      </c>
      <c r="Q20" s="10">
        <v>23.98</v>
      </c>
      <c r="R20" s="10">
        <f xml:space="preserve"> Table1_2[[#This Row],[Yield (Kg/Ha)]]/Table1_2[[#This Row],[Area (Hectares)]]</f>
        <v>127.19218910585816</v>
      </c>
      <c r="S20" s="10">
        <f>Table1_2[[#This Row],[Yield per Acre]]/Table1_2[[#This Row],[Yield (Kg/Ha)]]</f>
        <v>2.0554984583761562E-2</v>
      </c>
      <c r="T20" s="11">
        <f>Table1_2[[#This Row],[Yield per Acre]]/N20</f>
        <v>1.3952631538597868</v>
      </c>
    </row>
    <row r="21" spans="1:20" x14ac:dyDescent="0.3">
      <c r="A21" s="8" t="s">
        <v>76</v>
      </c>
      <c r="B21" s="9">
        <v>2021</v>
      </c>
      <c r="C21" s="9" t="str">
        <f t="shared" si="0"/>
        <v>1905-07</v>
      </c>
      <c r="D21" s="10">
        <v>2021</v>
      </c>
      <c r="E21" s="8" t="s">
        <v>36</v>
      </c>
      <c r="F21" s="8" t="s">
        <v>77</v>
      </c>
      <c r="G21" s="8" t="s">
        <v>19</v>
      </c>
      <c r="H21" s="8" t="s">
        <v>39</v>
      </c>
      <c r="I21" s="10">
        <v>72.12</v>
      </c>
      <c r="J21" s="10">
        <v>139.1</v>
      </c>
      <c r="K21" s="10">
        <v>1928.78</v>
      </c>
      <c r="L21" s="8" t="s">
        <v>34</v>
      </c>
      <c r="M21" s="8" t="s">
        <v>22</v>
      </c>
      <c r="N21" s="10">
        <v>104.43</v>
      </c>
      <c r="O21" s="10">
        <v>258.48</v>
      </c>
      <c r="P21" s="8" t="s">
        <v>61</v>
      </c>
      <c r="Q21" s="10">
        <v>20.91</v>
      </c>
      <c r="R21" s="10">
        <f xml:space="preserve"> Table1_2[[#This Row],[Yield (Kg/Ha)]]/Table1_2[[#This Row],[Area (Hectares)]]</f>
        <v>26.744037714919575</v>
      </c>
      <c r="S21" s="10">
        <f>Table1_2[[#This Row],[Yield per Acre]]/Table1_2[[#This Row],[Yield (Kg/Ha)]]</f>
        <v>1.386577925679423E-2</v>
      </c>
      <c r="T21" s="11">
        <f>Table1_2[[#This Row],[Yield per Acre]]/N21</f>
        <v>0.25609535301081654</v>
      </c>
    </row>
    <row r="22" spans="1:20" x14ac:dyDescent="0.3">
      <c r="A22" s="8" t="s">
        <v>78</v>
      </c>
      <c r="B22" s="9">
        <v>2017</v>
      </c>
      <c r="C22" s="9" t="str">
        <f t="shared" si="0"/>
        <v>1905-07</v>
      </c>
      <c r="D22" s="10">
        <v>2017</v>
      </c>
      <c r="E22" s="8" t="s">
        <v>25</v>
      </c>
      <c r="F22" s="8" t="s">
        <v>69</v>
      </c>
      <c r="G22" s="8" t="s">
        <v>19</v>
      </c>
      <c r="H22" s="8" t="s">
        <v>27</v>
      </c>
      <c r="I22" s="10">
        <v>16.59</v>
      </c>
      <c r="J22" s="10">
        <v>112.23</v>
      </c>
      <c r="K22" s="10">
        <v>6764.67</v>
      </c>
      <c r="L22" s="8" t="s">
        <v>21</v>
      </c>
      <c r="M22" s="8" t="s">
        <v>29</v>
      </c>
      <c r="N22" s="10">
        <v>262.83999999999997</v>
      </c>
      <c r="O22" s="10">
        <v>268.52</v>
      </c>
      <c r="P22" s="8" t="s">
        <v>23</v>
      </c>
      <c r="Q22" s="10">
        <v>30.13</v>
      </c>
      <c r="R22" s="10">
        <f xml:space="preserve"> Table1_2[[#This Row],[Yield (Kg/Ha)]]/Table1_2[[#This Row],[Area (Hectares)]]</f>
        <v>407.75587703435804</v>
      </c>
      <c r="S22" s="10">
        <f>Table1_2[[#This Row],[Yield per Acre]]/Table1_2[[#This Row],[Yield (Kg/Ha)]]</f>
        <v>6.027727546714888E-2</v>
      </c>
      <c r="T22" s="11">
        <f>Table1_2[[#This Row],[Yield per Acre]]/N22</f>
        <v>1.5513463591323926</v>
      </c>
    </row>
    <row r="23" spans="1:20" x14ac:dyDescent="0.3">
      <c r="A23" s="8" t="s">
        <v>79</v>
      </c>
      <c r="B23" s="9">
        <v>2013</v>
      </c>
      <c r="C23" s="9" t="str">
        <f t="shared" si="0"/>
        <v>1905-07</v>
      </c>
      <c r="D23" s="10">
        <v>2013</v>
      </c>
      <c r="E23" s="8" t="s">
        <v>25</v>
      </c>
      <c r="F23" s="8" t="s">
        <v>69</v>
      </c>
      <c r="G23" s="8" t="s">
        <v>19</v>
      </c>
      <c r="H23" s="8" t="s">
        <v>27</v>
      </c>
      <c r="I23" s="10">
        <v>4.93</v>
      </c>
      <c r="J23" s="10">
        <v>7.36</v>
      </c>
      <c r="K23" s="10">
        <v>1491.9</v>
      </c>
      <c r="L23" s="8" t="s">
        <v>34</v>
      </c>
      <c r="M23" s="8" t="s">
        <v>41</v>
      </c>
      <c r="N23" s="10">
        <v>283.68</v>
      </c>
      <c r="O23" s="10">
        <v>404.26</v>
      </c>
      <c r="P23" s="8" t="s">
        <v>70</v>
      </c>
      <c r="Q23" s="10">
        <v>23.58</v>
      </c>
      <c r="R23" s="10">
        <f xml:space="preserve"> Table1_2[[#This Row],[Yield (Kg/Ha)]]/Table1_2[[#This Row],[Area (Hectares)]]</f>
        <v>302.61663286004062</v>
      </c>
      <c r="S23" s="10">
        <f>Table1_2[[#This Row],[Yield per Acre]]/Table1_2[[#This Row],[Yield (Kg/Ha)]]</f>
        <v>0.20283975659229211</v>
      </c>
      <c r="T23" s="11">
        <f>Table1_2[[#This Row],[Yield per Acre]]/N23</f>
        <v>1.0667534999296413</v>
      </c>
    </row>
    <row r="24" spans="1:20" x14ac:dyDescent="0.3">
      <c r="A24" s="8" t="s">
        <v>80</v>
      </c>
      <c r="B24" s="9">
        <v>2014</v>
      </c>
      <c r="C24" s="9" t="str">
        <f t="shared" si="0"/>
        <v>1905-07</v>
      </c>
      <c r="D24" s="10">
        <v>2014</v>
      </c>
      <c r="E24" s="8" t="s">
        <v>17</v>
      </c>
      <c r="F24" s="8" t="s">
        <v>54</v>
      </c>
      <c r="G24" s="8" t="s">
        <v>38</v>
      </c>
      <c r="H24" s="8" t="s">
        <v>20</v>
      </c>
      <c r="I24" s="10">
        <v>92.97</v>
      </c>
      <c r="J24" s="10">
        <v>614.94000000000005</v>
      </c>
      <c r="K24" s="10">
        <v>6614.41</v>
      </c>
      <c r="L24" s="8" t="s">
        <v>21</v>
      </c>
      <c r="M24" s="8" t="s">
        <v>47</v>
      </c>
      <c r="N24" s="10">
        <v>164.57</v>
      </c>
      <c r="O24" s="10">
        <v>1198.45</v>
      </c>
      <c r="P24" s="8" t="s">
        <v>23</v>
      </c>
      <c r="Q24" s="10">
        <v>21.1</v>
      </c>
      <c r="R24" s="10">
        <f xml:space="preserve"> Table1_2[[#This Row],[Yield (Kg/Ha)]]/Table1_2[[#This Row],[Area (Hectares)]]</f>
        <v>71.145638377971395</v>
      </c>
      <c r="S24" s="10">
        <f>Table1_2[[#This Row],[Yield per Acre]]/Table1_2[[#This Row],[Yield (Kg/Ha)]]</f>
        <v>1.0756157900397979E-2</v>
      </c>
      <c r="T24" s="11">
        <f>Table1_2[[#This Row],[Yield per Acre]]/N24</f>
        <v>0.43231231924391683</v>
      </c>
    </row>
    <row r="25" spans="1:20" x14ac:dyDescent="0.3">
      <c r="A25" s="8" t="s">
        <v>81</v>
      </c>
      <c r="B25" s="9">
        <v>2015</v>
      </c>
      <c r="C25" s="9" t="str">
        <f t="shared" si="0"/>
        <v>1905-07</v>
      </c>
      <c r="D25" s="10">
        <v>2015</v>
      </c>
      <c r="E25" s="8" t="s">
        <v>31</v>
      </c>
      <c r="F25" s="8" t="s">
        <v>82</v>
      </c>
      <c r="G25" s="8" t="s">
        <v>33</v>
      </c>
      <c r="H25" s="8" t="s">
        <v>56</v>
      </c>
      <c r="I25" s="10">
        <v>37.58</v>
      </c>
      <c r="J25" s="10">
        <v>73.150000000000006</v>
      </c>
      <c r="K25" s="10">
        <v>1946.48</v>
      </c>
      <c r="L25" s="8" t="s">
        <v>34</v>
      </c>
      <c r="M25" s="8" t="s">
        <v>49</v>
      </c>
      <c r="N25" s="10">
        <v>202.92</v>
      </c>
      <c r="O25" s="10">
        <v>1187.23</v>
      </c>
      <c r="P25" s="8" t="s">
        <v>61</v>
      </c>
      <c r="Q25" s="10">
        <v>20.12</v>
      </c>
      <c r="R25" s="10">
        <f xml:space="preserve"> Table1_2[[#This Row],[Yield (Kg/Ha)]]/Table1_2[[#This Row],[Area (Hectares)]]</f>
        <v>51.795635976583291</v>
      </c>
      <c r="S25" s="10">
        <f>Table1_2[[#This Row],[Yield per Acre]]/Table1_2[[#This Row],[Yield (Kg/Ha)]]</f>
        <v>2.6609898882384249E-2</v>
      </c>
      <c r="T25" s="11">
        <f>Table1_2[[#This Row],[Yield per Acre]]/N25</f>
        <v>0.25525150786804307</v>
      </c>
    </row>
    <row r="26" spans="1:20" x14ac:dyDescent="0.3">
      <c r="A26" s="8" t="s">
        <v>83</v>
      </c>
      <c r="B26" s="9">
        <v>2013</v>
      </c>
      <c r="C26" s="9" t="str">
        <f t="shared" si="0"/>
        <v>1905-07</v>
      </c>
      <c r="D26" s="10">
        <v>2012</v>
      </c>
      <c r="E26" s="8" t="s">
        <v>17</v>
      </c>
      <c r="F26" s="8" t="s">
        <v>18</v>
      </c>
      <c r="G26" s="8" t="s">
        <v>38</v>
      </c>
      <c r="H26" s="8" t="s">
        <v>64</v>
      </c>
      <c r="I26" s="10">
        <v>89.08</v>
      </c>
      <c r="J26" s="10">
        <v>485.89</v>
      </c>
      <c r="K26" s="10">
        <v>5454.5</v>
      </c>
      <c r="L26" s="8" t="s">
        <v>40</v>
      </c>
      <c r="M26" s="8" t="s">
        <v>47</v>
      </c>
      <c r="N26" s="10">
        <v>118.09</v>
      </c>
      <c r="O26" s="10">
        <v>804.83</v>
      </c>
      <c r="P26" s="8" t="s">
        <v>70</v>
      </c>
      <c r="Q26" s="10">
        <v>23.05</v>
      </c>
      <c r="R26" s="10">
        <f xml:space="preserve"> Table1_2[[#This Row],[Yield (Kg/Ha)]]/Table1_2[[#This Row],[Area (Hectares)]]</f>
        <v>61.231477323753928</v>
      </c>
      <c r="S26" s="10">
        <f>Table1_2[[#This Row],[Yield per Acre]]/Table1_2[[#This Row],[Yield (Kg/Ha)]]</f>
        <v>1.1225864391558149E-2</v>
      </c>
      <c r="T26" s="11">
        <f>Table1_2[[#This Row],[Yield per Acre]]/N26</f>
        <v>0.51851534697056423</v>
      </c>
    </row>
    <row r="27" spans="1:20" x14ac:dyDescent="0.3">
      <c r="A27" s="8" t="s">
        <v>84</v>
      </c>
      <c r="B27" s="9">
        <v>2010</v>
      </c>
      <c r="C27" s="9" t="str">
        <f t="shared" si="0"/>
        <v>1905-07</v>
      </c>
      <c r="D27" s="10">
        <v>2010</v>
      </c>
      <c r="E27" s="8" t="s">
        <v>36</v>
      </c>
      <c r="F27" s="8" t="s">
        <v>51</v>
      </c>
      <c r="G27" s="8" t="s">
        <v>33</v>
      </c>
      <c r="H27" s="8" t="s">
        <v>39</v>
      </c>
      <c r="I27" s="10">
        <v>42.93</v>
      </c>
      <c r="J27" s="10">
        <v>114.2</v>
      </c>
      <c r="K27" s="10">
        <v>2660.08</v>
      </c>
      <c r="L27" s="8" t="s">
        <v>21</v>
      </c>
      <c r="M27" s="8" t="s">
        <v>47</v>
      </c>
      <c r="N27" s="10">
        <v>133.38999999999999</v>
      </c>
      <c r="O27" s="10">
        <v>330.82</v>
      </c>
      <c r="P27" s="8" t="s">
        <v>70</v>
      </c>
      <c r="Q27" s="10">
        <v>22.42</v>
      </c>
      <c r="R27" s="10">
        <f xml:space="preserve"> Table1_2[[#This Row],[Yield (Kg/Ha)]]/Table1_2[[#This Row],[Area (Hectares)]]</f>
        <v>61.963195900302814</v>
      </c>
      <c r="S27" s="10">
        <f>Table1_2[[#This Row],[Yield per Acre]]/Table1_2[[#This Row],[Yield (Kg/Ha)]]</f>
        <v>2.3293733985557882E-2</v>
      </c>
      <c r="T27" s="11">
        <f>Table1_2[[#This Row],[Yield per Acre]]/N27</f>
        <v>0.46452654547044619</v>
      </c>
    </row>
    <row r="28" spans="1:20" x14ac:dyDescent="0.3">
      <c r="A28" s="8" t="s">
        <v>85</v>
      </c>
      <c r="B28" s="9">
        <v>2018</v>
      </c>
      <c r="C28" s="9" t="str">
        <f t="shared" si="0"/>
        <v>1905-07</v>
      </c>
      <c r="D28" s="10">
        <v>2018</v>
      </c>
      <c r="E28" s="8" t="s">
        <v>17</v>
      </c>
      <c r="F28" s="8" t="s">
        <v>72</v>
      </c>
      <c r="G28" s="8" t="s">
        <v>33</v>
      </c>
      <c r="H28" s="8" t="s">
        <v>64</v>
      </c>
      <c r="I28" s="10">
        <v>8.4499999999999993</v>
      </c>
      <c r="J28" s="10">
        <v>53.22</v>
      </c>
      <c r="K28" s="10">
        <v>6298.64</v>
      </c>
      <c r="L28" s="8" t="s">
        <v>40</v>
      </c>
      <c r="M28" s="8" t="s">
        <v>41</v>
      </c>
      <c r="N28" s="10">
        <v>186.4</v>
      </c>
      <c r="O28" s="10">
        <v>1034.5999999999999</v>
      </c>
      <c r="P28" s="8" t="s">
        <v>61</v>
      </c>
      <c r="Q28" s="10">
        <v>28.29</v>
      </c>
      <c r="R28" s="10">
        <f xml:space="preserve"> Table1_2[[#This Row],[Yield (Kg/Ha)]]/Table1_2[[#This Row],[Area (Hectares)]]</f>
        <v>745.40118343195275</v>
      </c>
      <c r="S28" s="10">
        <f>Table1_2[[#This Row],[Yield per Acre]]/Table1_2[[#This Row],[Yield (Kg/Ha)]]</f>
        <v>0.1183431952662722</v>
      </c>
      <c r="T28" s="11">
        <f>Table1_2[[#This Row],[Yield per Acre]]/N28</f>
        <v>3.9989333875104758</v>
      </c>
    </row>
    <row r="29" spans="1:20" x14ac:dyDescent="0.3">
      <c r="A29" s="8" t="s">
        <v>86</v>
      </c>
      <c r="B29" s="9">
        <v>2015</v>
      </c>
      <c r="C29" s="9" t="str">
        <f t="shared" si="0"/>
        <v>1905-07</v>
      </c>
      <c r="D29" s="10">
        <v>2015</v>
      </c>
      <c r="E29" s="8" t="s">
        <v>25</v>
      </c>
      <c r="F29" s="8" t="s">
        <v>87</v>
      </c>
      <c r="G29" s="8" t="s">
        <v>33</v>
      </c>
      <c r="H29" s="8" t="s">
        <v>20</v>
      </c>
      <c r="I29" s="10">
        <v>21.8</v>
      </c>
      <c r="J29" s="10">
        <v>54.44</v>
      </c>
      <c r="K29" s="10">
        <v>2497.1799999999998</v>
      </c>
      <c r="L29" s="8" t="s">
        <v>21</v>
      </c>
      <c r="M29" s="8" t="s">
        <v>41</v>
      </c>
      <c r="N29" s="10">
        <v>138.41999999999999</v>
      </c>
      <c r="O29" s="10">
        <v>759.88</v>
      </c>
      <c r="P29" s="8" t="s">
        <v>52</v>
      </c>
      <c r="Q29" s="10">
        <v>34.61</v>
      </c>
      <c r="R29" s="10">
        <f xml:space="preserve"> Table1_2[[#This Row],[Yield (Kg/Ha)]]/Table1_2[[#This Row],[Area (Hectares)]]</f>
        <v>114.54954128440366</v>
      </c>
      <c r="S29" s="10">
        <f>Table1_2[[#This Row],[Yield per Acre]]/Table1_2[[#This Row],[Yield (Kg/Ha)]]</f>
        <v>4.5871559633027519E-2</v>
      </c>
      <c r="T29" s="11">
        <f>Table1_2[[#This Row],[Yield per Acre]]/N29</f>
        <v>0.82755050776191064</v>
      </c>
    </row>
    <row r="30" spans="1:20" x14ac:dyDescent="0.3">
      <c r="A30" s="8" t="s">
        <v>88</v>
      </c>
      <c r="B30" s="9">
        <v>2022</v>
      </c>
      <c r="C30" s="9" t="str">
        <f t="shared" si="0"/>
        <v>1905-07</v>
      </c>
      <c r="D30" s="10">
        <v>2022</v>
      </c>
      <c r="E30" s="8" t="s">
        <v>44</v>
      </c>
      <c r="F30" s="8" t="s">
        <v>45</v>
      </c>
      <c r="G30" s="8" t="s">
        <v>33</v>
      </c>
      <c r="H30" s="8" t="s">
        <v>46</v>
      </c>
      <c r="I30" s="10">
        <v>3.45</v>
      </c>
      <c r="J30" s="10">
        <v>18.7</v>
      </c>
      <c r="K30" s="10">
        <v>5419.39</v>
      </c>
      <c r="L30" s="8" t="s">
        <v>34</v>
      </c>
      <c r="M30" s="8" t="s">
        <v>29</v>
      </c>
      <c r="N30" s="10">
        <v>245.6</v>
      </c>
      <c r="O30" s="10">
        <v>611.71</v>
      </c>
      <c r="P30" s="8" t="s">
        <v>42</v>
      </c>
      <c r="Q30" s="10">
        <v>24</v>
      </c>
      <c r="R30" s="10">
        <f xml:space="preserve"> Table1_2[[#This Row],[Yield (Kg/Ha)]]/Table1_2[[#This Row],[Area (Hectares)]]</f>
        <v>1570.8376811594203</v>
      </c>
      <c r="S30" s="10">
        <f>Table1_2[[#This Row],[Yield per Acre]]/Table1_2[[#This Row],[Yield (Kg/Ha)]]</f>
        <v>0.28985507246376813</v>
      </c>
      <c r="T30" s="11">
        <f>Table1_2[[#This Row],[Yield per Acre]]/N30</f>
        <v>6.3959188972289098</v>
      </c>
    </row>
    <row r="31" spans="1:20" x14ac:dyDescent="0.3">
      <c r="A31" s="8" t="s">
        <v>89</v>
      </c>
      <c r="B31" s="9">
        <v>2017</v>
      </c>
      <c r="C31" s="9" t="str">
        <f t="shared" si="0"/>
        <v>1905-07</v>
      </c>
      <c r="D31" s="10">
        <v>2017</v>
      </c>
      <c r="E31" s="8" t="s">
        <v>44</v>
      </c>
      <c r="F31" s="8" t="s">
        <v>45</v>
      </c>
      <c r="G31" s="8" t="s">
        <v>33</v>
      </c>
      <c r="H31" s="8" t="s">
        <v>56</v>
      </c>
      <c r="I31" s="10">
        <v>81.84</v>
      </c>
      <c r="J31" s="10">
        <v>307.87</v>
      </c>
      <c r="K31" s="10">
        <v>3761.82</v>
      </c>
      <c r="L31" s="8" t="s">
        <v>34</v>
      </c>
      <c r="M31" s="8" t="s">
        <v>29</v>
      </c>
      <c r="N31" s="10">
        <v>255.13</v>
      </c>
      <c r="O31" s="10">
        <v>1071.32</v>
      </c>
      <c r="P31" s="8" t="s">
        <v>42</v>
      </c>
      <c r="Q31" s="10">
        <v>20.350000000000001</v>
      </c>
      <c r="R31" s="10">
        <f xml:space="preserve"> Table1_2[[#This Row],[Yield (Kg/Ha)]]/Table1_2[[#This Row],[Area (Hectares)]]</f>
        <v>45.965542521994138</v>
      </c>
      <c r="S31" s="10">
        <f>Table1_2[[#This Row],[Yield per Acre]]/Table1_2[[#This Row],[Yield (Kg/Ha)]]</f>
        <v>1.2218963831867057E-2</v>
      </c>
      <c r="T31" s="11">
        <f>Table1_2[[#This Row],[Yield per Acre]]/N31</f>
        <v>0.1801651805824252</v>
      </c>
    </row>
    <row r="32" spans="1:20" x14ac:dyDescent="0.3">
      <c r="A32" s="8" t="s">
        <v>90</v>
      </c>
      <c r="B32" s="9">
        <v>2012</v>
      </c>
      <c r="C32" s="9" t="str">
        <f t="shared" si="0"/>
        <v>1905-07</v>
      </c>
      <c r="D32" s="10">
        <v>2011</v>
      </c>
      <c r="E32" s="8" t="s">
        <v>31</v>
      </c>
      <c r="F32" s="8" t="s">
        <v>32</v>
      </c>
      <c r="G32" s="8" t="s">
        <v>38</v>
      </c>
      <c r="H32" s="8" t="s">
        <v>20</v>
      </c>
      <c r="I32" s="10">
        <v>64.510000000000005</v>
      </c>
      <c r="J32" s="10">
        <v>219.21</v>
      </c>
      <c r="K32" s="10">
        <v>3398.07</v>
      </c>
      <c r="L32" s="8" t="s">
        <v>34</v>
      </c>
      <c r="M32" s="8" t="s">
        <v>22</v>
      </c>
      <c r="N32" s="10">
        <v>284.81</v>
      </c>
      <c r="O32" s="10">
        <v>315.33999999999997</v>
      </c>
      <c r="P32" s="8" t="s">
        <v>70</v>
      </c>
      <c r="Q32" s="10">
        <v>22.68</v>
      </c>
      <c r="R32" s="10">
        <f xml:space="preserve"> Table1_2[[#This Row],[Yield (Kg/Ha)]]/Table1_2[[#This Row],[Area (Hectares)]]</f>
        <v>52.675089133467679</v>
      </c>
      <c r="S32" s="10">
        <f>Table1_2[[#This Row],[Yield per Acre]]/Table1_2[[#This Row],[Yield (Kg/Ha)]]</f>
        <v>1.5501472639900789E-2</v>
      </c>
      <c r="T32" s="11">
        <f>Table1_2[[#This Row],[Yield per Acre]]/N32</f>
        <v>0.18494817293447449</v>
      </c>
    </row>
    <row r="33" spans="1:20" x14ac:dyDescent="0.3">
      <c r="A33" s="8" t="s">
        <v>91</v>
      </c>
      <c r="B33" s="9">
        <v>2017</v>
      </c>
      <c r="C33" s="9" t="str">
        <f t="shared" si="0"/>
        <v>1905-07</v>
      </c>
      <c r="D33" s="10">
        <v>2016</v>
      </c>
      <c r="E33" s="8" t="s">
        <v>25</v>
      </c>
      <c r="F33" s="8" t="s">
        <v>69</v>
      </c>
      <c r="G33" s="8" t="s">
        <v>38</v>
      </c>
      <c r="H33" s="8" t="s">
        <v>39</v>
      </c>
      <c r="I33" s="10">
        <v>78.86</v>
      </c>
      <c r="J33" s="10">
        <v>285.33999999999997</v>
      </c>
      <c r="K33" s="10">
        <v>3618.36</v>
      </c>
      <c r="L33" s="8" t="s">
        <v>21</v>
      </c>
      <c r="M33" s="8" t="s">
        <v>22</v>
      </c>
      <c r="N33" s="10">
        <v>146.30000000000001</v>
      </c>
      <c r="O33" s="10">
        <v>776.59</v>
      </c>
      <c r="P33" s="8" t="s">
        <v>70</v>
      </c>
      <c r="Q33" s="10">
        <v>20.67</v>
      </c>
      <c r="R33" s="10">
        <f xml:space="preserve"> Table1_2[[#This Row],[Yield (Kg/Ha)]]/Table1_2[[#This Row],[Area (Hectares)]]</f>
        <v>45.883337560233329</v>
      </c>
      <c r="S33" s="10">
        <f>Table1_2[[#This Row],[Yield per Acre]]/Table1_2[[#This Row],[Yield (Kg/Ha)]]</f>
        <v>1.2680699974638601E-2</v>
      </c>
      <c r="T33" s="11">
        <f>Table1_2[[#This Row],[Yield per Acre]]/N33</f>
        <v>0.31362500041171104</v>
      </c>
    </row>
    <row r="34" spans="1:20" x14ac:dyDescent="0.3">
      <c r="A34" s="8" t="s">
        <v>92</v>
      </c>
      <c r="B34" s="9">
        <v>2020</v>
      </c>
      <c r="C34" s="9" t="str">
        <f t="shared" si="0"/>
        <v>1905-07</v>
      </c>
      <c r="D34" s="10">
        <v>2020</v>
      </c>
      <c r="E34" s="8" t="s">
        <v>59</v>
      </c>
      <c r="F34" s="8" t="s">
        <v>93</v>
      </c>
      <c r="G34" s="8" t="s">
        <v>19</v>
      </c>
      <c r="H34" s="8" t="s">
        <v>39</v>
      </c>
      <c r="I34" s="10">
        <v>73.97</v>
      </c>
      <c r="J34" s="10">
        <v>161.41999999999999</v>
      </c>
      <c r="K34" s="10">
        <v>2182.21</v>
      </c>
      <c r="L34" s="8" t="s">
        <v>28</v>
      </c>
      <c r="M34" s="8" t="s">
        <v>22</v>
      </c>
      <c r="N34" s="10">
        <v>67.489999999999995</v>
      </c>
      <c r="O34" s="10">
        <v>864.24</v>
      </c>
      <c r="P34" s="8" t="s">
        <v>70</v>
      </c>
      <c r="Q34" s="10">
        <v>29.35</v>
      </c>
      <c r="R34" s="10">
        <f xml:space="preserve"> Table1_2[[#This Row],[Yield (Kg/Ha)]]/Table1_2[[#This Row],[Area (Hectares)]]</f>
        <v>29.501284304447751</v>
      </c>
      <c r="S34" s="10">
        <f>Table1_2[[#This Row],[Yield per Acre]]/Table1_2[[#This Row],[Yield (Kg/Ha)]]</f>
        <v>1.35189941868325E-2</v>
      </c>
      <c r="T34" s="11">
        <f>Table1_2[[#This Row],[Yield per Acre]]/N34</f>
        <v>0.43712082240995337</v>
      </c>
    </row>
    <row r="35" spans="1:20" x14ac:dyDescent="0.3">
      <c r="A35" s="8" t="s">
        <v>94</v>
      </c>
      <c r="B35" s="9">
        <v>2018</v>
      </c>
      <c r="C35" s="9" t="str">
        <f t="shared" si="0"/>
        <v>1905-07</v>
      </c>
      <c r="D35" s="10">
        <v>2018</v>
      </c>
      <c r="E35" s="8" t="s">
        <v>17</v>
      </c>
      <c r="F35" s="8" t="s">
        <v>72</v>
      </c>
      <c r="G35" s="8" t="s">
        <v>38</v>
      </c>
      <c r="H35" s="8" t="s">
        <v>39</v>
      </c>
      <c r="I35" s="10">
        <v>41.43</v>
      </c>
      <c r="J35" s="10">
        <v>141.46</v>
      </c>
      <c r="K35" s="10">
        <v>3414.4</v>
      </c>
      <c r="L35" s="8" t="s">
        <v>34</v>
      </c>
      <c r="M35" s="8" t="s">
        <v>47</v>
      </c>
      <c r="N35" s="10">
        <v>188.6</v>
      </c>
      <c r="O35" s="10">
        <v>391.84</v>
      </c>
      <c r="P35" s="8" t="s">
        <v>52</v>
      </c>
      <c r="Q35" s="10">
        <v>30.16</v>
      </c>
      <c r="R35" s="10">
        <f xml:space="preserve"> Table1_2[[#This Row],[Yield (Kg/Ha)]]/Table1_2[[#This Row],[Area (Hectares)]]</f>
        <v>82.413709872073383</v>
      </c>
      <c r="S35" s="10">
        <f>Table1_2[[#This Row],[Yield per Acre]]/Table1_2[[#This Row],[Yield (Kg/Ha)]]</f>
        <v>2.413709872073377E-2</v>
      </c>
      <c r="T35" s="11">
        <f>Table1_2[[#This Row],[Yield per Acre]]/N35</f>
        <v>0.43697619232276452</v>
      </c>
    </row>
    <row r="36" spans="1:20" x14ac:dyDescent="0.3">
      <c r="A36" s="8" t="s">
        <v>95</v>
      </c>
      <c r="B36" s="9">
        <v>2016</v>
      </c>
      <c r="C36" s="9" t="str">
        <f t="shared" si="0"/>
        <v>1905-07</v>
      </c>
      <c r="D36" s="10">
        <v>2016</v>
      </c>
      <c r="E36" s="8" t="s">
        <v>59</v>
      </c>
      <c r="F36" s="8" t="s">
        <v>63</v>
      </c>
      <c r="G36" s="8" t="s">
        <v>19</v>
      </c>
      <c r="H36" s="8" t="s">
        <v>64</v>
      </c>
      <c r="I36" s="10">
        <v>31.08</v>
      </c>
      <c r="J36" s="10">
        <v>70.27</v>
      </c>
      <c r="K36" s="10">
        <v>2261.1</v>
      </c>
      <c r="L36" s="8" t="s">
        <v>34</v>
      </c>
      <c r="M36" s="8" t="s">
        <v>41</v>
      </c>
      <c r="N36" s="10">
        <v>166.25</v>
      </c>
      <c r="O36" s="10">
        <v>642.16</v>
      </c>
      <c r="P36" s="8" t="s">
        <v>42</v>
      </c>
      <c r="Q36" s="10">
        <v>27.67</v>
      </c>
      <c r="R36" s="10">
        <f xml:space="preserve"> Table1_2[[#This Row],[Yield (Kg/Ha)]]/Table1_2[[#This Row],[Area (Hectares)]]</f>
        <v>72.750965250965251</v>
      </c>
      <c r="S36" s="10">
        <f>Table1_2[[#This Row],[Yield per Acre]]/Table1_2[[#This Row],[Yield (Kg/Ha)]]</f>
        <v>3.2175032175032175E-2</v>
      </c>
      <c r="T36" s="11">
        <f>Table1_2[[#This Row],[Yield per Acre]]/N36</f>
        <v>0.43759979098324964</v>
      </c>
    </row>
    <row r="37" spans="1:20" x14ac:dyDescent="0.3">
      <c r="A37" s="8" t="s">
        <v>96</v>
      </c>
      <c r="B37" s="9">
        <v>2014</v>
      </c>
      <c r="C37" s="9" t="str">
        <f t="shared" si="0"/>
        <v>1905-07</v>
      </c>
      <c r="D37" s="10">
        <v>2014</v>
      </c>
      <c r="E37" s="8" t="s">
        <v>17</v>
      </c>
      <c r="F37" s="8" t="s">
        <v>18</v>
      </c>
      <c r="G37" s="8" t="s">
        <v>19</v>
      </c>
      <c r="H37" s="8" t="s">
        <v>39</v>
      </c>
      <c r="I37" s="10">
        <v>63.66</v>
      </c>
      <c r="J37" s="10">
        <v>191.69</v>
      </c>
      <c r="K37" s="10">
        <v>3011.13</v>
      </c>
      <c r="L37" s="8" t="s">
        <v>40</v>
      </c>
      <c r="M37" s="8" t="s">
        <v>41</v>
      </c>
      <c r="N37" s="10">
        <v>218.2</v>
      </c>
      <c r="O37" s="10">
        <v>424.64</v>
      </c>
      <c r="P37" s="8" t="s">
        <v>42</v>
      </c>
      <c r="Q37" s="10">
        <v>22.21</v>
      </c>
      <c r="R37" s="10">
        <f xml:space="preserve"> Table1_2[[#This Row],[Yield (Kg/Ha)]]/Table1_2[[#This Row],[Area (Hectares)]]</f>
        <v>47.300188501413764</v>
      </c>
      <c r="S37" s="10">
        <f>Table1_2[[#This Row],[Yield per Acre]]/Table1_2[[#This Row],[Yield (Kg/Ha)]]</f>
        <v>1.5708451146716935E-2</v>
      </c>
      <c r="T37" s="11">
        <f>Table1_2[[#This Row],[Yield per Acre]]/N37</f>
        <v>0.2167744660926387</v>
      </c>
    </row>
    <row r="38" spans="1:20" x14ac:dyDescent="0.3">
      <c r="A38" s="8" t="s">
        <v>97</v>
      </c>
      <c r="B38" s="9">
        <v>2022</v>
      </c>
      <c r="C38" s="9" t="str">
        <f t="shared" si="0"/>
        <v>1905-07</v>
      </c>
      <c r="D38" s="10">
        <v>2022</v>
      </c>
      <c r="E38" s="8" t="s">
        <v>36</v>
      </c>
      <c r="F38" s="8" t="s">
        <v>77</v>
      </c>
      <c r="G38" s="8" t="s">
        <v>33</v>
      </c>
      <c r="H38" s="8" t="s">
        <v>46</v>
      </c>
      <c r="I38" s="10">
        <v>42.03</v>
      </c>
      <c r="J38" s="10">
        <v>200.84</v>
      </c>
      <c r="K38" s="10">
        <v>4778.59</v>
      </c>
      <c r="L38" s="8" t="s">
        <v>40</v>
      </c>
      <c r="M38" s="8" t="s">
        <v>22</v>
      </c>
      <c r="N38" s="10">
        <v>229.59</v>
      </c>
      <c r="O38" s="10">
        <v>583.98</v>
      </c>
      <c r="P38" s="8" t="s">
        <v>52</v>
      </c>
      <c r="Q38" s="10">
        <v>23.66</v>
      </c>
      <c r="R38" s="10">
        <f xml:space="preserve"> Table1_2[[#This Row],[Yield (Kg/Ha)]]/Table1_2[[#This Row],[Area (Hectares)]]</f>
        <v>113.69474185105877</v>
      </c>
      <c r="S38" s="10">
        <f>Table1_2[[#This Row],[Yield per Acre]]/Table1_2[[#This Row],[Yield (Kg/Ha)]]</f>
        <v>2.3792529145848201E-2</v>
      </c>
      <c r="T38" s="11">
        <f>Table1_2[[#This Row],[Yield per Acre]]/N38</f>
        <v>0.49520772616864306</v>
      </c>
    </row>
    <row r="39" spans="1:20" x14ac:dyDescent="0.3">
      <c r="A39" s="8" t="s">
        <v>98</v>
      </c>
      <c r="B39" s="9">
        <v>2013</v>
      </c>
      <c r="C39" s="9" t="str">
        <f t="shared" si="0"/>
        <v>1905-07</v>
      </c>
      <c r="D39" s="10">
        <v>2013</v>
      </c>
      <c r="E39" s="8" t="s">
        <v>44</v>
      </c>
      <c r="F39" s="8" t="s">
        <v>99</v>
      </c>
      <c r="G39" s="8" t="s">
        <v>33</v>
      </c>
      <c r="H39" s="8" t="s">
        <v>39</v>
      </c>
      <c r="I39" s="10">
        <v>52.28</v>
      </c>
      <c r="J39" s="10">
        <v>68.03</v>
      </c>
      <c r="K39" s="10">
        <v>1301.31</v>
      </c>
      <c r="L39" s="8" t="s">
        <v>40</v>
      </c>
      <c r="M39" s="8" t="s">
        <v>47</v>
      </c>
      <c r="N39" s="10">
        <v>279.37</v>
      </c>
      <c r="O39" s="10">
        <v>321.36</v>
      </c>
      <c r="P39" s="8" t="s">
        <v>42</v>
      </c>
      <c r="Q39" s="10">
        <v>32.020000000000003</v>
      </c>
      <c r="R39" s="10">
        <f xml:space="preserve"> Table1_2[[#This Row],[Yield (Kg/Ha)]]/Table1_2[[#This Row],[Area (Hectares)]]</f>
        <v>24.89116296863045</v>
      </c>
      <c r="S39" s="10">
        <f>Table1_2[[#This Row],[Yield per Acre]]/Table1_2[[#This Row],[Yield (Kg/Ha)]]</f>
        <v>1.9127773527161437E-2</v>
      </c>
      <c r="T39" s="11">
        <f>Table1_2[[#This Row],[Yield per Acre]]/N39</f>
        <v>8.9097479932098822E-2</v>
      </c>
    </row>
    <row r="40" spans="1:20" x14ac:dyDescent="0.3">
      <c r="A40" s="8" t="s">
        <v>100</v>
      </c>
      <c r="B40" s="9">
        <v>2023</v>
      </c>
      <c r="C40" s="9" t="str">
        <f t="shared" si="0"/>
        <v>1905-07</v>
      </c>
      <c r="D40" s="10">
        <v>2022</v>
      </c>
      <c r="E40" s="8" t="s">
        <v>59</v>
      </c>
      <c r="F40" s="8" t="s">
        <v>63</v>
      </c>
      <c r="G40" s="8" t="s">
        <v>38</v>
      </c>
      <c r="H40" s="8" t="s">
        <v>27</v>
      </c>
      <c r="I40" s="10">
        <v>81.69</v>
      </c>
      <c r="J40" s="10">
        <v>518.9</v>
      </c>
      <c r="K40" s="10">
        <v>6352.12</v>
      </c>
      <c r="L40" s="8" t="s">
        <v>28</v>
      </c>
      <c r="M40" s="8" t="s">
        <v>29</v>
      </c>
      <c r="N40" s="10">
        <v>257.64</v>
      </c>
      <c r="O40" s="10">
        <v>747.87</v>
      </c>
      <c r="P40" s="8" t="s">
        <v>42</v>
      </c>
      <c r="Q40" s="10">
        <v>31.15</v>
      </c>
      <c r="R40" s="10">
        <f xml:space="preserve"> Table1_2[[#This Row],[Yield (Kg/Ha)]]/Table1_2[[#This Row],[Area (Hectares)]]</f>
        <v>77.758844411800709</v>
      </c>
      <c r="S40" s="10">
        <f>Table1_2[[#This Row],[Yield per Acre]]/Table1_2[[#This Row],[Yield (Kg/Ha)]]</f>
        <v>1.2241400416207615E-2</v>
      </c>
      <c r="T40" s="11">
        <f>Table1_2[[#This Row],[Yield per Acre]]/N40</f>
        <v>0.30181200284040022</v>
      </c>
    </row>
    <row r="41" spans="1:20" x14ac:dyDescent="0.3">
      <c r="A41" s="8" t="s">
        <v>101</v>
      </c>
      <c r="B41" s="9">
        <v>2021</v>
      </c>
      <c r="C41" s="9" t="str">
        <f t="shared" si="0"/>
        <v>1905-07</v>
      </c>
      <c r="D41" s="10">
        <v>2020</v>
      </c>
      <c r="E41" s="8" t="s">
        <v>31</v>
      </c>
      <c r="F41" s="8" t="s">
        <v>82</v>
      </c>
      <c r="G41" s="8" t="s">
        <v>38</v>
      </c>
      <c r="H41" s="8" t="s">
        <v>27</v>
      </c>
      <c r="I41" s="10">
        <v>48.98</v>
      </c>
      <c r="J41" s="10">
        <v>119.29</v>
      </c>
      <c r="K41" s="10">
        <v>2435.48</v>
      </c>
      <c r="L41" s="8" t="s">
        <v>28</v>
      </c>
      <c r="M41" s="8" t="s">
        <v>22</v>
      </c>
      <c r="N41" s="10">
        <v>69.37</v>
      </c>
      <c r="O41" s="10">
        <v>485.73</v>
      </c>
      <c r="P41" s="8" t="s">
        <v>70</v>
      </c>
      <c r="Q41" s="10">
        <v>25.04</v>
      </c>
      <c r="R41" s="10">
        <f xml:space="preserve"> Table1_2[[#This Row],[Yield (Kg/Ha)]]/Table1_2[[#This Row],[Area (Hectares)]]</f>
        <v>49.723968966925277</v>
      </c>
      <c r="S41" s="10">
        <f>Table1_2[[#This Row],[Yield per Acre]]/Table1_2[[#This Row],[Yield (Kg/Ha)]]</f>
        <v>2.0416496529195589E-2</v>
      </c>
      <c r="T41" s="11">
        <f>Table1_2[[#This Row],[Yield per Acre]]/N41</f>
        <v>0.71679355581555826</v>
      </c>
    </row>
    <row r="42" spans="1:20" x14ac:dyDescent="0.3">
      <c r="A42" s="8" t="s">
        <v>102</v>
      </c>
      <c r="B42" s="9">
        <v>2014</v>
      </c>
      <c r="C42" s="9" t="str">
        <f t="shared" si="0"/>
        <v>1905-07</v>
      </c>
      <c r="D42" s="10">
        <v>2013</v>
      </c>
      <c r="E42" s="8" t="s">
        <v>103</v>
      </c>
      <c r="F42" s="8" t="s">
        <v>104</v>
      </c>
      <c r="G42" s="8" t="s">
        <v>38</v>
      </c>
      <c r="H42" s="8" t="s">
        <v>39</v>
      </c>
      <c r="I42" s="10">
        <v>16.13</v>
      </c>
      <c r="J42" s="10">
        <v>36.840000000000003</v>
      </c>
      <c r="K42" s="10">
        <v>2283.7199999999998</v>
      </c>
      <c r="L42" s="8" t="s">
        <v>28</v>
      </c>
      <c r="M42" s="8" t="s">
        <v>29</v>
      </c>
      <c r="N42" s="10">
        <v>151.9</v>
      </c>
      <c r="O42" s="10">
        <v>742.61</v>
      </c>
      <c r="P42" s="8" t="s">
        <v>52</v>
      </c>
      <c r="Q42" s="10">
        <v>20.93</v>
      </c>
      <c r="R42" s="10">
        <f xml:space="preserve"> Table1_2[[#This Row],[Yield (Kg/Ha)]]/Table1_2[[#This Row],[Area (Hectares)]]</f>
        <v>141.58214507129571</v>
      </c>
      <c r="S42" s="10">
        <f>Table1_2[[#This Row],[Yield per Acre]]/Table1_2[[#This Row],[Yield (Kg/Ha)]]</f>
        <v>6.1996280223186609E-2</v>
      </c>
      <c r="T42" s="11">
        <f>Table1_2[[#This Row],[Yield per Acre]]/N42</f>
        <v>0.932074687763632</v>
      </c>
    </row>
    <row r="43" spans="1:20" x14ac:dyDescent="0.3">
      <c r="A43" s="8" t="s">
        <v>105</v>
      </c>
      <c r="B43" s="9">
        <v>2021</v>
      </c>
      <c r="C43" s="9" t="str">
        <f t="shared" si="0"/>
        <v>1905-07</v>
      </c>
      <c r="D43" s="10">
        <v>2021</v>
      </c>
      <c r="E43" s="8" t="s">
        <v>44</v>
      </c>
      <c r="F43" s="8" t="s">
        <v>67</v>
      </c>
      <c r="G43" s="8" t="s">
        <v>33</v>
      </c>
      <c r="H43" s="8" t="s">
        <v>27</v>
      </c>
      <c r="I43" s="10">
        <v>38.659999999999997</v>
      </c>
      <c r="J43" s="10">
        <v>40.03</v>
      </c>
      <c r="K43" s="10">
        <v>1035.3800000000001</v>
      </c>
      <c r="L43" s="8" t="s">
        <v>34</v>
      </c>
      <c r="M43" s="8" t="s">
        <v>47</v>
      </c>
      <c r="N43" s="10">
        <v>124.65</v>
      </c>
      <c r="O43" s="10">
        <v>589.99</v>
      </c>
      <c r="P43" s="8" t="s">
        <v>52</v>
      </c>
      <c r="Q43" s="10">
        <v>28.07</v>
      </c>
      <c r="R43" s="10">
        <f xml:space="preserve"> Table1_2[[#This Row],[Yield (Kg/Ha)]]/Table1_2[[#This Row],[Area (Hectares)]]</f>
        <v>26.781686497672016</v>
      </c>
      <c r="S43" s="10">
        <f>Table1_2[[#This Row],[Yield per Acre]]/Table1_2[[#This Row],[Yield (Kg/Ha)]]</f>
        <v>2.5866528711846869E-2</v>
      </c>
      <c r="T43" s="11">
        <f>Table1_2[[#This Row],[Yield per Acre]]/N43</f>
        <v>0.21485508622279995</v>
      </c>
    </row>
    <row r="44" spans="1:20" x14ac:dyDescent="0.3">
      <c r="A44" s="8" t="s">
        <v>106</v>
      </c>
      <c r="B44" s="9">
        <v>2014</v>
      </c>
      <c r="C44" s="9" t="str">
        <f t="shared" si="0"/>
        <v>1905-07</v>
      </c>
      <c r="D44" s="10">
        <v>2013</v>
      </c>
      <c r="E44" s="8" t="s">
        <v>103</v>
      </c>
      <c r="F44" s="8" t="s">
        <v>107</v>
      </c>
      <c r="G44" s="8" t="s">
        <v>38</v>
      </c>
      <c r="H44" s="8" t="s">
        <v>46</v>
      </c>
      <c r="I44" s="10">
        <v>49.08</v>
      </c>
      <c r="J44" s="10">
        <v>163.59</v>
      </c>
      <c r="K44" s="10">
        <v>3333.14</v>
      </c>
      <c r="L44" s="8" t="s">
        <v>28</v>
      </c>
      <c r="M44" s="8" t="s">
        <v>22</v>
      </c>
      <c r="N44" s="10">
        <v>231.05</v>
      </c>
      <c r="O44" s="10">
        <v>1040.51</v>
      </c>
      <c r="P44" s="8" t="s">
        <v>42</v>
      </c>
      <c r="Q44" s="10">
        <v>34.71</v>
      </c>
      <c r="R44" s="10">
        <f xml:space="preserve"> Table1_2[[#This Row],[Yield (Kg/Ha)]]/Table1_2[[#This Row],[Area (Hectares)]]</f>
        <v>67.912387938060306</v>
      </c>
      <c r="S44" s="10">
        <f>Table1_2[[#This Row],[Yield per Acre]]/Table1_2[[#This Row],[Yield (Kg/Ha)]]</f>
        <v>2.0374898125509373E-2</v>
      </c>
      <c r="T44" s="11">
        <f>Table1_2[[#This Row],[Yield per Acre]]/N44</f>
        <v>0.2939294002945696</v>
      </c>
    </row>
    <row r="45" spans="1:20" x14ac:dyDescent="0.3">
      <c r="A45" s="8" t="s">
        <v>108</v>
      </c>
      <c r="B45" s="9">
        <v>2019</v>
      </c>
      <c r="C45" s="9" t="str">
        <f t="shared" si="0"/>
        <v>1905-07</v>
      </c>
      <c r="D45" s="10">
        <v>2019</v>
      </c>
      <c r="E45" s="8" t="s">
        <v>36</v>
      </c>
      <c r="F45" s="8" t="s">
        <v>77</v>
      </c>
      <c r="G45" s="8" t="s">
        <v>19</v>
      </c>
      <c r="H45" s="8" t="s">
        <v>64</v>
      </c>
      <c r="I45" s="10">
        <v>9.31</v>
      </c>
      <c r="J45" s="10">
        <v>33.25</v>
      </c>
      <c r="K45" s="10">
        <v>3571.68</v>
      </c>
      <c r="L45" s="8" t="s">
        <v>28</v>
      </c>
      <c r="M45" s="8" t="s">
        <v>49</v>
      </c>
      <c r="N45" s="10">
        <v>95.43</v>
      </c>
      <c r="O45" s="10">
        <v>460.16</v>
      </c>
      <c r="P45" s="8" t="s">
        <v>70</v>
      </c>
      <c r="Q45" s="10">
        <v>23.17</v>
      </c>
      <c r="R45" s="10">
        <f xml:space="preserve"> Table1_2[[#This Row],[Yield (Kg/Ha)]]/Table1_2[[#This Row],[Area (Hectares)]]</f>
        <v>383.63909774436087</v>
      </c>
      <c r="S45" s="10">
        <f>Table1_2[[#This Row],[Yield per Acre]]/Table1_2[[#This Row],[Yield (Kg/Ha)]]</f>
        <v>0.10741138560687433</v>
      </c>
      <c r="T45" s="11">
        <f>Table1_2[[#This Row],[Yield per Acre]]/N45</f>
        <v>4.0201100046564058</v>
      </c>
    </row>
    <row r="46" spans="1:20" x14ac:dyDescent="0.3">
      <c r="A46" s="8" t="s">
        <v>109</v>
      </c>
      <c r="B46" s="9">
        <v>2014</v>
      </c>
      <c r="C46" s="9" t="str">
        <f t="shared" si="0"/>
        <v>1905-07</v>
      </c>
      <c r="D46" s="10">
        <v>2014</v>
      </c>
      <c r="E46" s="8" t="s">
        <v>44</v>
      </c>
      <c r="F46" s="8" t="s">
        <v>99</v>
      </c>
      <c r="G46" s="8" t="s">
        <v>38</v>
      </c>
      <c r="H46" s="8" t="s">
        <v>20</v>
      </c>
      <c r="I46" s="10">
        <v>83.66</v>
      </c>
      <c r="J46" s="10">
        <v>319.74</v>
      </c>
      <c r="K46" s="10">
        <v>3821.84</v>
      </c>
      <c r="L46" s="8" t="s">
        <v>21</v>
      </c>
      <c r="M46" s="8" t="s">
        <v>22</v>
      </c>
      <c r="N46" s="10">
        <v>299.98</v>
      </c>
      <c r="O46" s="10">
        <v>549.96</v>
      </c>
      <c r="P46" s="8" t="s">
        <v>23</v>
      </c>
      <c r="Q46" s="10">
        <v>31.72</v>
      </c>
      <c r="R46" s="10">
        <f xml:space="preserve"> Table1_2[[#This Row],[Yield (Kg/Ha)]]/Table1_2[[#This Row],[Area (Hectares)]]</f>
        <v>45.683002629691615</v>
      </c>
      <c r="S46" s="10">
        <f>Table1_2[[#This Row],[Yield per Acre]]/Table1_2[[#This Row],[Yield (Kg/Ha)]]</f>
        <v>1.1953143676786996E-2</v>
      </c>
      <c r="T46" s="11">
        <f>Table1_2[[#This Row],[Yield per Acre]]/N46</f>
        <v>0.15228682788749787</v>
      </c>
    </row>
    <row r="47" spans="1:20" x14ac:dyDescent="0.3">
      <c r="A47" s="8" t="s">
        <v>110</v>
      </c>
      <c r="B47" s="9">
        <v>2010</v>
      </c>
      <c r="C47" s="9" t="str">
        <f t="shared" si="0"/>
        <v>1905-07</v>
      </c>
      <c r="D47" s="10">
        <v>2010</v>
      </c>
      <c r="E47" s="8" t="s">
        <v>103</v>
      </c>
      <c r="F47" s="8" t="s">
        <v>104</v>
      </c>
      <c r="G47" s="8" t="s">
        <v>19</v>
      </c>
      <c r="H47" s="8" t="s">
        <v>56</v>
      </c>
      <c r="I47" s="10">
        <v>24.62</v>
      </c>
      <c r="J47" s="10">
        <v>94.57</v>
      </c>
      <c r="K47" s="10">
        <v>3841.37</v>
      </c>
      <c r="L47" s="8" t="s">
        <v>21</v>
      </c>
      <c r="M47" s="8" t="s">
        <v>47</v>
      </c>
      <c r="N47" s="10">
        <v>190.99</v>
      </c>
      <c r="O47" s="10">
        <v>417.96</v>
      </c>
      <c r="P47" s="8" t="s">
        <v>70</v>
      </c>
      <c r="Q47" s="10">
        <v>31.5</v>
      </c>
      <c r="R47" s="10">
        <f xml:space="preserve"> Table1_2[[#This Row],[Yield (Kg/Ha)]]/Table1_2[[#This Row],[Area (Hectares)]]</f>
        <v>156.02640129975629</v>
      </c>
      <c r="S47" s="10">
        <f>Table1_2[[#This Row],[Yield per Acre]]/Table1_2[[#This Row],[Yield (Kg/Ha)]]</f>
        <v>4.0617384240454912E-2</v>
      </c>
      <c r="T47" s="11">
        <f>Table1_2[[#This Row],[Yield per Acre]]/N47</f>
        <v>0.81693492486390007</v>
      </c>
    </row>
    <row r="48" spans="1:20" x14ac:dyDescent="0.3">
      <c r="A48" s="8" t="s">
        <v>111</v>
      </c>
      <c r="B48" s="9">
        <v>2021</v>
      </c>
      <c r="C48" s="9" t="str">
        <f t="shared" si="0"/>
        <v>1905-07</v>
      </c>
      <c r="D48" s="10">
        <v>2021</v>
      </c>
      <c r="E48" s="8" t="s">
        <v>59</v>
      </c>
      <c r="F48" s="8" t="s">
        <v>93</v>
      </c>
      <c r="G48" s="8" t="s">
        <v>33</v>
      </c>
      <c r="H48" s="8" t="s">
        <v>56</v>
      </c>
      <c r="I48" s="10">
        <v>96.51</v>
      </c>
      <c r="J48" s="10">
        <v>159.11000000000001</v>
      </c>
      <c r="K48" s="10">
        <v>1648.59</v>
      </c>
      <c r="L48" s="8" t="s">
        <v>21</v>
      </c>
      <c r="M48" s="8" t="s">
        <v>22</v>
      </c>
      <c r="N48" s="10">
        <v>282.22000000000003</v>
      </c>
      <c r="O48" s="10">
        <v>775.8</v>
      </c>
      <c r="P48" s="8" t="s">
        <v>52</v>
      </c>
      <c r="Q48" s="10">
        <v>25.95</v>
      </c>
      <c r="R48" s="10">
        <f xml:space="preserve"> Table1_2[[#This Row],[Yield (Kg/Ha)]]/Table1_2[[#This Row],[Area (Hectares)]]</f>
        <v>17.082064034815044</v>
      </c>
      <c r="S48" s="10">
        <f>Table1_2[[#This Row],[Yield per Acre]]/Table1_2[[#This Row],[Yield (Kg/Ha)]]</f>
        <v>1.0361620557455186E-2</v>
      </c>
      <c r="T48" s="11">
        <f>Table1_2[[#This Row],[Yield per Acre]]/N48</f>
        <v>6.0527475142849702E-2</v>
      </c>
    </row>
    <row r="49" spans="1:20" x14ac:dyDescent="0.3">
      <c r="A49" s="8" t="s">
        <v>112</v>
      </c>
      <c r="B49" s="9">
        <v>2020</v>
      </c>
      <c r="C49" s="9" t="str">
        <f t="shared" si="0"/>
        <v>1905-07</v>
      </c>
      <c r="D49" s="10">
        <v>2020</v>
      </c>
      <c r="E49" s="8" t="s">
        <v>59</v>
      </c>
      <c r="F49" s="8" t="s">
        <v>93</v>
      </c>
      <c r="G49" s="8" t="s">
        <v>33</v>
      </c>
      <c r="H49" s="8" t="s">
        <v>64</v>
      </c>
      <c r="I49" s="10">
        <v>70.02</v>
      </c>
      <c r="J49" s="10">
        <v>196.72</v>
      </c>
      <c r="K49" s="10">
        <v>2809.5</v>
      </c>
      <c r="L49" s="8" t="s">
        <v>21</v>
      </c>
      <c r="M49" s="8" t="s">
        <v>49</v>
      </c>
      <c r="N49" s="10">
        <v>249.06</v>
      </c>
      <c r="O49" s="10">
        <v>765.93</v>
      </c>
      <c r="P49" s="8" t="s">
        <v>23</v>
      </c>
      <c r="Q49" s="10">
        <v>25.21</v>
      </c>
      <c r="R49" s="10">
        <f xml:space="preserve"> Table1_2[[#This Row],[Yield (Kg/Ha)]]/Table1_2[[#This Row],[Area (Hectares)]]</f>
        <v>40.12425021422451</v>
      </c>
      <c r="S49" s="10">
        <f>Table1_2[[#This Row],[Yield per Acre]]/Table1_2[[#This Row],[Yield (Kg/Ha)]]</f>
        <v>1.4281633818908884E-2</v>
      </c>
      <c r="T49" s="11">
        <f>Table1_2[[#This Row],[Yield per Acre]]/N49</f>
        <v>0.16110274718631859</v>
      </c>
    </row>
    <row r="50" spans="1:20" x14ac:dyDescent="0.3">
      <c r="A50" s="8" t="s">
        <v>113</v>
      </c>
      <c r="B50" s="9">
        <v>2021</v>
      </c>
      <c r="C50" s="9" t="str">
        <f t="shared" si="0"/>
        <v>1905-07</v>
      </c>
      <c r="D50" s="10">
        <v>2020</v>
      </c>
      <c r="E50" s="8" t="s">
        <v>25</v>
      </c>
      <c r="F50" s="8" t="s">
        <v>69</v>
      </c>
      <c r="G50" s="8" t="s">
        <v>38</v>
      </c>
      <c r="H50" s="8" t="s">
        <v>64</v>
      </c>
      <c r="I50" s="10">
        <v>85.11</v>
      </c>
      <c r="J50" s="10">
        <v>505.04</v>
      </c>
      <c r="K50" s="10">
        <v>5933.99</v>
      </c>
      <c r="L50" s="8" t="s">
        <v>21</v>
      </c>
      <c r="M50" s="8" t="s">
        <v>41</v>
      </c>
      <c r="N50" s="10">
        <v>158.38</v>
      </c>
      <c r="O50" s="10">
        <v>562.19000000000005</v>
      </c>
      <c r="P50" s="8" t="s">
        <v>52</v>
      </c>
      <c r="Q50" s="10">
        <v>30.61</v>
      </c>
      <c r="R50" s="10">
        <f xml:space="preserve"> Table1_2[[#This Row],[Yield (Kg/Ha)]]/Table1_2[[#This Row],[Area (Hectares)]]</f>
        <v>69.721419339678064</v>
      </c>
      <c r="S50" s="10">
        <f>Table1_2[[#This Row],[Yield per Acre]]/Table1_2[[#This Row],[Yield (Kg/Ha)]]</f>
        <v>1.1749500646222537E-2</v>
      </c>
      <c r="T50" s="11">
        <f>Table1_2[[#This Row],[Yield per Acre]]/N50</f>
        <v>0.44021605846494549</v>
      </c>
    </row>
    <row r="51" spans="1:20" x14ac:dyDescent="0.3">
      <c r="A51" s="8" t="s">
        <v>114</v>
      </c>
      <c r="B51" s="9">
        <v>2021</v>
      </c>
      <c r="C51" s="9" t="str">
        <f t="shared" si="0"/>
        <v>1905-07</v>
      </c>
      <c r="D51" s="10">
        <v>2020</v>
      </c>
      <c r="E51" s="8" t="s">
        <v>17</v>
      </c>
      <c r="F51" s="8" t="s">
        <v>54</v>
      </c>
      <c r="G51" s="8" t="s">
        <v>38</v>
      </c>
      <c r="H51" s="8" t="s">
        <v>27</v>
      </c>
      <c r="I51" s="10">
        <v>81.010000000000005</v>
      </c>
      <c r="J51" s="10">
        <v>342.59</v>
      </c>
      <c r="K51" s="10">
        <v>4229.04</v>
      </c>
      <c r="L51" s="8" t="s">
        <v>28</v>
      </c>
      <c r="M51" s="8" t="s">
        <v>22</v>
      </c>
      <c r="N51" s="10">
        <v>166.22</v>
      </c>
      <c r="O51" s="10">
        <v>1025.73</v>
      </c>
      <c r="P51" s="8" t="s">
        <v>61</v>
      </c>
      <c r="Q51" s="10">
        <v>24.03</v>
      </c>
      <c r="R51" s="10">
        <f xml:space="preserve"> Table1_2[[#This Row],[Yield (Kg/Ha)]]/Table1_2[[#This Row],[Area (Hectares)]]</f>
        <v>52.203925441303539</v>
      </c>
      <c r="S51" s="10">
        <f>Table1_2[[#This Row],[Yield per Acre]]/Table1_2[[#This Row],[Yield (Kg/Ha)]]</f>
        <v>1.2344155042587334E-2</v>
      </c>
      <c r="T51" s="11">
        <f>Table1_2[[#This Row],[Yield per Acre]]/N51</f>
        <v>0.31406524751115111</v>
      </c>
    </row>
    <row r="52" spans="1:20" x14ac:dyDescent="0.3">
      <c r="A52" s="8" t="s">
        <v>115</v>
      </c>
      <c r="B52" s="9">
        <v>2014</v>
      </c>
      <c r="C52" s="9" t="str">
        <f t="shared" si="0"/>
        <v>1905-07</v>
      </c>
      <c r="D52" s="10">
        <v>2013</v>
      </c>
      <c r="E52" s="8" t="s">
        <v>31</v>
      </c>
      <c r="F52" s="8" t="s">
        <v>32</v>
      </c>
      <c r="G52" s="8" t="s">
        <v>38</v>
      </c>
      <c r="H52" s="8" t="s">
        <v>27</v>
      </c>
      <c r="I52" s="10">
        <v>61.42</v>
      </c>
      <c r="J52" s="10">
        <v>201.09</v>
      </c>
      <c r="K52" s="10">
        <v>3273.94</v>
      </c>
      <c r="L52" s="8" t="s">
        <v>21</v>
      </c>
      <c r="M52" s="8" t="s">
        <v>49</v>
      </c>
      <c r="N52" s="10">
        <v>173.58</v>
      </c>
      <c r="O52" s="10">
        <v>525.01</v>
      </c>
      <c r="P52" s="8" t="s">
        <v>52</v>
      </c>
      <c r="Q52" s="10">
        <v>23.18</v>
      </c>
      <c r="R52" s="10">
        <f xml:space="preserve"> Table1_2[[#This Row],[Yield (Kg/Ha)]]/Table1_2[[#This Row],[Area (Hectares)]]</f>
        <v>53.30413546076197</v>
      </c>
      <c r="S52" s="10">
        <f>Table1_2[[#This Row],[Yield per Acre]]/Table1_2[[#This Row],[Yield (Kg/Ha)]]</f>
        <v>1.6281341582546401E-2</v>
      </c>
      <c r="T52" s="11">
        <f>Table1_2[[#This Row],[Yield per Acre]]/N52</f>
        <v>0.30708685021754789</v>
      </c>
    </row>
    <row r="53" spans="1:20" x14ac:dyDescent="0.3">
      <c r="A53" s="8" t="s">
        <v>116</v>
      </c>
      <c r="B53" s="9">
        <v>2022</v>
      </c>
      <c r="C53" s="9" t="str">
        <f t="shared" si="0"/>
        <v>1905-07</v>
      </c>
      <c r="D53" s="10">
        <v>2021</v>
      </c>
      <c r="E53" s="8" t="s">
        <v>31</v>
      </c>
      <c r="F53" s="8" t="s">
        <v>117</v>
      </c>
      <c r="G53" s="8" t="s">
        <v>38</v>
      </c>
      <c r="H53" s="8" t="s">
        <v>27</v>
      </c>
      <c r="I53" s="10">
        <v>2</v>
      </c>
      <c r="J53" s="10">
        <v>13.38</v>
      </c>
      <c r="K53" s="10">
        <v>6688.38</v>
      </c>
      <c r="L53" s="8" t="s">
        <v>21</v>
      </c>
      <c r="M53" s="8" t="s">
        <v>29</v>
      </c>
      <c r="N53" s="10">
        <v>110.34</v>
      </c>
      <c r="O53" s="10">
        <v>606.42999999999995</v>
      </c>
      <c r="P53" s="8" t="s">
        <v>61</v>
      </c>
      <c r="Q53" s="10">
        <v>31.37</v>
      </c>
      <c r="R53" s="10">
        <f xml:space="preserve"> Table1_2[[#This Row],[Yield (Kg/Ha)]]/Table1_2[[#This Row],[Area (Hectares)]]</f>
        <v>3344.19</v>
      </c>
      <c r="S53" s="10">
        <f>Table1_2[[#This Row],[Yield per Acre]]/Table1_2[[#This Row],[Yield (Kg/Ha)]]</f>
        <v>0.5</v>
      </c>
      <c r="T53" s="11">
        <f>Table1_2[[#This Row],[Yield per Acre]]/N53</f>
        <v>30.30804785209353</v>
      </c>
    </row>
    <row r="54" spans="1:20" x14ac:dyDescent="0.3">
      <c r="A54" s="8" t="s">
        <v>118</v>
      </c>
      <c r="B54" s="9">
        <v>2012</v>
      </c>
      <c r="C54" s="9" t="str">
        <f t="shared" si="0"/>
        <v>1905-07</v>
      </c>
      <c r="D54" s="10">
        <v>2011</v>
      </c>
      <c r="E54" s="8" t="s">
        <v>36</v>
      </c>
      <c r="F54" s="8" t="s">
        <v>37</v>
      </c>
      <c r="G54" s="8" t="s">
        <v>38</v>
      </c>
      <c r="H54" s="8" t="s">
        <v>56</v>
      </c>
      <c r="I54" s="10">
        <v>41.04</v>
      </c>
      <c r="J54" s="10">
        <v>100.95</v>
      </c>
      <c r="K54" s="10">
        <v>2459.83</v>
      </c>
      <c r="L54" s="8" t="s">
        <v>34</v>
      </c>
      <c r="M54" s="8" t="s">
        <v>49</v>
      </c>
      <c r="N54" s="10">
        <v>168.32</v>
      </c>
      <c r="O54" s="10">
        <v>730.92</v>
      </c>
      <c r="P54" s="8" t="s">
        <v>52</v>
      </c>
      <c r="Q54" s="10">
        <v>34.950000000000003</v>
      </c>
      <c r="R54" s="10">
        <f xml:space="preserve"> Table1_2[[#This Row],[Yield (Kg/Ha)]]/Table1_2[[#This Row],[Area (Hectares)]]</f>
        <v>59.937378167641327</v>
      </c>
      <c r="S54" s="10">
        <f>Table1_2[[#This Row],[Yield per Acre]]/Table1_2[[#This Row],[Yield (Kg/Ha)]]</f>
        <v>2.436647173489279E-2</v>
      </c>
      <c r="T54" s="11">
        <f>Table1_2[[#This Row],[Yield per Acre]]/N54</f>
        <v>0.3560918379731543</v>
      </c>
    </row>
    <row r="55" spans="1:20" x14ac:dyDescent="0.3">
      <c r="A55" s="8" t="s">
        <v>119</v>
      </c>
      <c r="B55" s="9">
        <v>2018</v>
      </c>
      <c r="C55" s="9" t="str">
        <f t="shared" si="0"/>
        <v>1905-07</v>
      </c>
      <c r="D55" s="10">
        <v>2017</v>
      </c>
      <c r="E55" s="8" t="s">
        <v>31</v>
      </c>
      <c r="F55" s="8" t="s">
        <v>117</v>
      </c>
      <c r="G55" s="8" t="s">
        <v>38</v>
      </c>
      <c r="H55" s="8" t="s">
        <v>20</v>
      </c>
      <c r="I55" s="10">
        <v>25.89</v>
      </c>
      <c r="J55" s="10">
        <v>44.63</v>
      </c>
      <c r="K55" s="10">
        <v>1723.94</v>
      </c>
      <c r="L55" s="8" t="s">
        <v>40</v>
      </c>
      <c r="M55" s="8" t="s">
        <v>49</v>
      </c>
      <c r="N55" s="10">
        <v>128.88999999999999</v>
      </c>
      <c r="O55" s="10">
        <v>942.88</v>
      </c>
      <c r="P55" s="8" t="s">
        <v>42</v>
      </c>
      <c r="Q55" s="10">
        <v>22.87</v>
      </c>
      <c r="R55" s="10">
        <f xml:space="preserve"> Table1_2[[#This Row],[Yield (Kg/Ha)]]/Table1_2[[#This Row],[Area (Hectares)]]</f>
        <v>66.587099266125918</v>
      </c>
      <c r="S55" s="10">
        <f>Table1_2[[#This Row],[Yield per Acre]]/Table1_2[[#This Row],[Yield (Kg/Ha)]]</f>
        <v>3.8624951718810349E-2</v>
      </c>
      <c r="T55" s="11">
        <f>Table1_2[[#This Row],[Yield per Acre]]/N55</f>
        <v>0.51661959241311139</v>
      </c>
    </row>
    <row r="56" spans="1:20" x14ac:dyDescent="0.3">
      <c r="A56" s="8" t="s">
        <v>120</v>
      </c>
      <c r="B56" s="9">
        <v>2022</v>
      </c>
      <c r="C56" s="9" t="str">
        <f t="shared" si="0"/>
        <v>1905-07</v>
      </c>
      <c r="D56" s="10">
        <v>2022</v>
      </c>
      <c r="E56" s="8" t="s">
        <v>17</v>
      </c>
      <c r="F56" s="8" t="s">
        <v>54</v>
      </c>
      <c r="G56" s="8" t="s">
        <v>19</v>
      </c>
      <c r="H56" s="8" t="s">
        <v>27</v>
      </c>
      <c r="I56" s="10">
        <v>29.02</v>
      </c>
      <c r="J56" s="10">
        <v>46.52</v>
      </c>
      <c r="K56" s="10">
        <v>1603.16</v>
      </c>
      <c r="L56" s="8" t="s">
        <v>40</v>
      </c>
      <c r="M56" s="8" t="s">
        <v>41</v>
      </c>
      <c r="N56" s="10">
        <v>124.06</v>
      </c>
      <c r="O56" s="10">
        <v>560.88</v>
      </c>
      <c r="P56" s="8" t="s">
        <v>70</v>
      </c>
      <c r="Q56" s="10">
        <v>20.21</v>
      </c>
      <c r="R56" s="10">
        <f xml:space="preserve"> Table1_2[[#This Row],[Yield (Kg/Ha)]]/Table1_2[[#This Row],[Area (Hectares)]]</f>
        <v>55.243280496209515</v>
      </c>
      <c r="S56" s="10">
        <f>Table1_2[[#This Row],[Yield per Acre]]/Table1_2[[#This Row],[Yield (Kg/Ha)]]</f>
        <v>3.445899379738112E-2</v>
      </c>
      <c r="T56" s="11">
        <f>Table1_2[[#This Row],[Yield per Acre]]/N56</f>
        <v>0.44529486132685403</v>
      </c>
    </row>
    <row r="57" spans="1:20" x14ac:dyDescent="0.3">
      <c r="A57" s="8" t="s">
        <v>121</v>
      </c>
      <c r="B57" s="9">
        <v>2010</v>
      </c>
      <c r="C57" s="9" t="str">
        <f t="shared" si="0"/>
        <v>1905-07</v>
      </c>
      <c r="D57" s="10">
        <v>2010</v>
      </c>
      <c r="E57" s="8" t="s">
        <v>31</v>
      </c>
      <c r="F57" s="8" t="s">
        <v>82</v>
      </c>
      <c r="G57" s="8" t="s">
        <v>19</v>
      </c>
      <c r="H57" s="8" t="s">
        <v>20</v>
      </c>
      <c r="I57" s="10">
        <v>70.040000000000006</v>
      </c>
      <c r="J57" s="10">
        <v>123.11</v>
      </c>
      <c r="K57" s="10">
        <v>1757.68</v>
      </c>
      <c r="L57" s="8" t="s">
        <v>28</v>
      </c>
      <c r="M57" s="8" t="s">
        <v>49</v>
      </c>
      <c r="N57" s="10">
        <v>75.650000000000006</v>
      </c>
      <c r="O57" s="10">
        <v>212.27</v>
      </c>
      <c r="P57" s="8" t="s">
        <v>70</v>
      </c>
      <c r="Q57" s="10">
        <v>27.04</v>
      </c>
      <c r="R57" s="10">
        <f xml:space="preserve"> Table1_2[[#This Row],[Yield (Kg/Ha)]]/Table1_2[[#This Row],[Area (Hectares)]]</f>
        <v>25.095374071958879</v>
      </c>
      <c r="S57" s="10">
        <f>Table1_2[[#This Row],[Yield per Acre]]/Table1_2[[#This Row],[Yield (Kg/Ha)]]</f>
        <v>1.427755568246716E-2</v>
      </c>
      <c r="T57" s="11">
        <f>Table1_2[[#This Row],[Yield per Acre]]/N57</f>
        <v>0.3317299943418226</v>
      </c>
    </row>
    <row r="58" spans="1:20" x14ac:dyDescent="0.3">
      <c r="A58" s="8" t="s">
        <v>122</v>
      </c>
      <c r="B58" s="9">
        <v>2015</v>
      </c>
      <c r="C58" s="9" t="str">
        <f t="shared" si="0"/>
        <v>1905-07</v>
      </c>
      <c r="D58" s="10">
        <v>2014</v>
      </c>
      <c r="E58" s="8" t="s">
        <v>103</v>
      </c>
      <c r="F58" s="8" t="s">
        <v>104</v>
      </c>
      <c r="G58" s="8" t="s">
        <v>38</v>
      </c>
      <c r="H58" s="8" t="s">
        <v>64</v>
      </c>
      <c r="I58" s="10">
        <v>82.39</v>
      </c>
      <c r="J58" s="10">
        <v>280.48</v>
      </c>
      <c r="K58" s="10">
        <v>3404.24</v>
      </c>
      <c r="L58" s="8" t="s">
        <v>21</v>
      </c>
      <c r="M58" s="8" t="s">
        <v>49</v>
      </c>
      <c r="N58" s="10">
        <v>194.26</v>
      </c>
      <c r="O58" s="10">
        <v>886.45</v>
      </c>
      <c r="P58" s="8" t="s">
        <v>42</v>
      </c>
      <c r="Q58" s="10">
        <v>22.24</v>
      </c>
      <c r="R58" s="10">
        <f xml:space="preserve"> Table1_2[[#This Row],[Yield (Kg/Ha)]]/Table1_2[[#This Row],[Area (Hectares)]]</f>
        <v>41.318606627017836</v>
      </c>
      <c r="S58" s="10">
        <f>Table1_2[[#This Row],[Yield per Acre]]/Table1_2[[#This Row],[Yield (Kg/Ha)]]</f>
        <v>1.2137395314965407E-2</v>
      </c>
      <c r="T58" s="11">
        <f>Table1_2[[#This Row],[Yield per Acre]]/N58</f>
        <v>0.21269744994861442</v>
      </c>
    </row>
    <row r="59" spans="1:20" x14ac:dyDescent="0.3">
      <c r="A59" s="8" t="s">
        <v>123</v>
      </c>
      <c r="B59" s="9">
        <v>2011</v>
      </c>
      <c r="C59" s="9" t="str">
        <f t="shared" si="0"/>
        <v>1905-07</v>
      </c>
      <c r="D59" s="10">
        <v>2011</v>
      </c>
      <c r="E59" s="8" t="s">
        <v>25</v>
      </c>
      <c r="F59" s="8" t="s">
        <v>26</v>
      </c>
      <c r="G59" s="8" t="s">
        <v>19</v>
      </c>
      <c r="H59" s="8" t="s">
        <v>46</v>
      </c>
      <c r="I59" s="10">
        <v>61.03</v>
      </c>
      <c r="J59" s="10">
        <v>350.58</v>
      </c>
      <c r="K59" s="10">
        <v>5744.44</v>
      </c>
      <c r="L59" s="8" t="s">
        <v>40</v>
      </c>
      <c r="M59" s="8" t="s">
        <v>29</v>
      </c>
      <c r="N59" s="10">
        <v>243.92</v>
      </c>
      <c r="O59" s="10">
        <v>580.38</v>
      </c>
      <c r="P59" s="8" t="s">
        <v>52</v>
      </c>
      <c r="Q59" s="10">
        <v>24.46</v>
      </c>
      <c r="R59" s="10">
        <f xml:space="preserve"> Table1_2[[#This Row],[Yield (Kg/Ha)]]/Table1_2[[#This Row],[Area (Hectares)]]</f>
        <v>94.124856627887922</v>
      </c>
      <c r="S59" s="10">
        <f>Table1_2[[#This Row],[Yield per Acre]]/Table1_2[[#This Row],[Yield (Kg/Ha)]]</f>
        <v>1.6385384237260363E-2</v>
      </c>
      <c r="T59" s="11">
        <f>Table1_2[[#This Row],[Yield per Acre]]/N59</f>
        <v>0.38588412851708725</v>
      </c>
    </row>
    <row r="60" spans="1:20" x14ac:dyDescent="0.3">
      <c r="A60" s="8" t="s">
        <v>124</v>
      </c>
      <c r="B60" s="9">
        <v>2019</v>
      </c>
      <c r="C60" s="9" t="str">
        <f t="shared" si="0"/>
        <v>1905-07</v>
      </c>
      <c r="D60" s="10">
        <v>2019</v>
      </c>
      <c r="E60" s="8" t="s">
        <v>31</v>
      </c>
      <c r="F60" s="8" t="s">
        <v>117</v>
      </c>
      <c r="G60" s="8" t="s">
        <v>33</v>
      </c>
      <c r="H60" s="8" t="s">
        <v>27</v>
      </c>
      <c r="I60" s="10">
        <v>96.05</v>
      </c>
      <c r="J60" s="10">
        <v>153.24</v>
      </c>
      <c r="K60" s="10">
        <v>1595.4</v>
      </c>
      <c r="L60" s="8" t="s">
        <v>40</v>
      </c>
      <c r="M60" s="8" t="s">
        <v>47</v>
      </c>
      <c r="N60" s="10">
        <v>206.38</v>
      </c>
      <c r="O60" s="10">
        <v>464.65</v>
      </c>
      <c r="P60" s="8" t="s">
        <v>23</v>
      </c>
      <c r="Q60" s="10">
        <v>22.36</v>
      </c>
      <c r="R60" s="10">
        <f xml:space="preserve"> Table1_2[[#This Row],[Yield (Kg/Ha)]]/Table1_2[[#This Row],[Area (Hectares)]]</f>
        <v>16.610098906819367</v>
      </c>
      <c r="S60" s="10">
        <f>Table1_2[[#This Row],[Yield per Acre]]/Table1_2[[#This Row],[Yield (Kg/Ha)]]</f>
        <v>1.0411244143675169E-2</v>
      </c>
      <c r="T60" s="11">
        <f>Table1_2[[#This Row],[Yield per Acre]]/N60</f>
        <v>8.0483084149720746E-2</v>
      </c>
    </row>
    <row r="61" spans="1:20" x14ac:dyDescent="0.3">
      <c r="A61" s="8" t="s">
        <v>125</v>
      </c>
      <c r="B61" s="9">
        <v>2010</v>
      </c>
      <c r="C61" s="9" t="str">
        <f t="shared" si="0"/>
        <v>1905-07</v>
      </c>
      <c r="D61" s="10">
        <v>2010</v>
      </c>
      <c r="E61" s="8" t="s">
        <v>25</v>
      </c>
      <c r="F61" s="8" t="s">
        <v>26</v>
      </c>
      <c r="G61" s="8" t="s">
        <v>38</v>
      </c>
      <c r="H61" s="8" t="s">
        <v>46</v>
      </c>
      <c r="I61" s="10">
        <v>69.25</v>
      </c>
      <c r="J61" s="10">
        <v>264.5</v>
      </c>
      <c r="K61" s="10">
        <v>3819.47</v>
      </c>
      <c r="L61" s="8" t="s">
        <v>21</v>
      </c>
      <c r="M61" s="8" t="s">
        <v>49</v>
      </c>
      <c r="N61" s="10">
        <v>107.87</v>
      </c>
      <c r="O61" s="10">
        <v>906.96</v>
      </c>
      <c r="P61" s="8" t="s">
        <v>52</v>
      </c>
      <c r="Q61" s="10">
        <v>21.07</v>
      </c>
      <c r="R61" s="10">
        <f xml:space="preserve"> Table1_2[[#This Row],[Yield (Kg/Ha)]]/Table1_2[[#This Row],[Area (Hectares)]]</f>
        <v>55.154801444043315</v>
      </c>
      <c r="S61" s="10">
        <f>Table1_2[[#This Row],[Yield per Acre]]/Table1_2[[#This Row],[Yield (Kg/Ha)]]</f>
        <v>1.4440433212996389E-2</v>
      </c>
      <c r="T61" s="11">
        <f>Table1_2[[#This Row],[Yield per Acre]]/N61</f>
        <v>0.51130806938021056</v>
      </c>
    </row>
    <row r="62" spans="1:20" x14ac:dyDescent="0.3">
      <c r="A62" s="8" t="s">
        <v>126</v>
      </c>
      <c r="B62" s="9">
        <v>2019</v>
      </c>
      <c r="C62" s="9" t="str">
        <f t="shared" si="0"/>
        <v>1905-07</v>
      </c>
      <c r="D62" s="10">
        <v>2019</v>
      </c>
      <c r="E62" s="8" t="s">
        <v>44</v>
      </c>
      <c r="F62" s="8" t="s">
        <v>67</v>
      </c>
      <c r="G62" s="8" t="s">
        <v>19</v>
      </c>
      <c r="H62" s="8" t="s">
        <v>56</v>
      </c>
      <c r="I62" s="10">
        <v>43.09</v>
      </c>
      <c r="J62" s="10">
        <v>183.88</v>
      </c>
      <c r="K62" s="10">
        <v>4267.37</v>
      </c>
      <c r="L62" s="8" t="s">
        <v>40</v>
      </c>
      <c r="M62" s="8" t="s">
        <v>49</v>
      </c>
      <c r="N62" s="10">
        <v>277.10000000000002</v>
      </c>
      <c r="O62" s="10">
        <v>1026.6300000000001</v>
      </c>
      <c r="P62" s="8" t="s">
        <v>23</v>
      </c>
      <c r="Q62" s="10">
        <v>20.89</v>
      </c>
      <c r="R62" s="10">
        <f xml:space="preserve"> Table1_2[[#This Row],[Yield (Kg/Ha)]]/Table1_2[[#This Row],[Area (Hectares)]]</f>
        <v>99.033882571362255</v>
      </c>
      <c r="S62" s="10">
        <f>Table1_2[[#This Row],[Yield per Acre]]/Table1_2[[#This Row],[Yield (Kg/Ha)]]</f>
        <v>2.3207240659085634E-2</v>
      </c>
      <c r="T62" s="11">
        <f>Table1_2[[#This Row],[Yield per Acre]]/N62</f>
        <v>0.35739401866244047</v>
      </c>
    </row>
    <row r="63" spans="1:20" x14ac:dyDescent="0.3">
      <c r="A63" s="8" t="s">
        <v>127</v>
      </c>
      <c r="B63" s="9">
        <v>2019</v>
      </c>
      <c r="C63" s="9" t="str">
        <f t="shared" si="0"/>
        <v>1905-07</v>
      </c>
      <c r="D63" s="10">
        <v>2019</v>
      </c>
      <c r="E63" s="8" t="s">
        <v>59</v>
      </c>
      <c r="F63" s="8" t="s">
        <v>93</v>
      </c>
      <c r="G63" s="8" t="s">
        <v>38</v>
      </c>
      <c r="H63" s="8" t="s">
        <v>46</v>
      </c>
      <c r="I63" s="10">
        <v>13.31</v>
      </c>
      <c r="J63" s="10">
        <v>68.31</v>
      </c>
      <c r="K63" s="10">
        <v>5132.07</v>
      </c>
      <c r="L63" s="8" t="s">
        <v>28</v>
      </c>
      <c r="M63" s="8" t="s">
        <v>29</v>
      </c>
      <c r="N63" s="10">
        <v>285.67</v>
      </c>
      <c r="O63" s="10">
        <v>700.47</v>
      </c>
      <c r="P63" s="8" t="s">
        <v>52</v>
      </c>
      <c r="Q63" s="10">
        <v>26.57</v>
      </c>
      <c r="R63" s="10">
        <f xml:space="preserve"> Table1_2[[#This Row],[Yield (Kg/Ha)]]/Table1_2[[#This Row],[Area (Hectares)]]</f>
        <v>385.580015026296</v>
      </c>
      <c r="S63" s="10">
        <f>Table1_2[[#This Row],[Yield per Acre]]/Table1_2[[#This Row],[Yield (Kg/Ha)]]</f>
        <v>7.5131480090157771E-2</v>
      </c>
      <c r="T63" s="11">
        <f>Table1_2[[#This Row],[Yield per Acre]]/N63</f>
        <v>1.3497392621776734</v>
      </c>
    </row>
    <row r="64" spans="1:20" x14ac:dyDescent="0.3">
      <c r="A64" s="8" t="s">
        <v>128</v>
      </c>
      <c r="B64" s="9">
        <v>2019</v>
      </c>
      <c r="C64" s="9" t="str">
        <f t="shared" si="0"/>
        <v>1905-07</v>
      </c>
      <c r="D64" s="10">
        <v>2019</v>
      </c>
      <c r="E64" s="8" t="s">
        <v>17</v>
      </c>
      <c r="F64" s="8" t="s">
        <v>72</v>
      </c>
      <c r="G64" s="8" t="s">
        <v>38</v>
      </c>
      <c r="H64" s="8" t="s">
        <v>64</v>
      </c>
      <c r="I64" s="10">
        <v>10.039999999999999</v>
      </c>
      <c r="J64" s="10">
        <v>67.989999999999995</v>
      </c>
      <c r="K64" s="10">
        <v>6771.47</v>
      </c>
      <c r="L64" s="8" t="s">
        <v>21</v>
      </c>
      <c r="M64" s="8" t="s">
        <v>29</v>
      </c>
      <c r="N64" s="10">
        <v>299.89</v>
      </c>
      <c r="O64" s="10">
        <v>872.28</v>
      </c>
      <c r="P64" s="8" t="s">
        <v>70</v>
      </c>
      <c r="Q64" s="10">
        <v>28.64</v>
      </c>
      <c r="R64" s="10">
        <f xml:space="preserve"> Table1_2[[#This Row],[Yield (Kg/Ha)]]/Table1_2[[#This Row],[Area (Hectares)]]</f>
        <v>674.4492031872511</v>
      </c>
      <c r="S64" s="10">
        <f>Table1_2[[#This Row],[Yield per Acre]]/Table1_2[[#This Row],[Yield (Kg/Ha)]]</f>
        <v>9.9601593625498017E-2</v>
      </c>
      <c r="T64" s="11">
        <f>Table1_2[[#This Row],[Yield per Acre]]/N64</f>
        <v>2.2489886397920942</v>
      </c>
    </row>
    <row r="65" spans="1:20" x14ac:dyDescent="0.3">
      <c r="A65" s="8" t="s">
        <v>129</v>
      </c>
      <c r="B65" s="9">
        <v>2017</v>
      </c>
      <c r="C65" s="9" t="str">
        <f t="shared" si="0"/>
        <v>1905-07</v>
      </c>
      <c r="D65" s="10">
        <v>2017</v>
      </c>
      <c r="E65" s="8" t="s">
        <v>59</v>
      </c>
      <c r="F65" s="8" t="s">
        <v>93</v>
      </c>
      <c r="G65" s="8" t="s">
        <v>38</v>
      </c>
      <c r="H65" s="8" t="s">
        <v>56</v>
      </c>
      <c r="I65" s="10">
        <v>99.7</v>
      </c>
      <c r="J65" s="10">
        <v>360.45</v>
      </c>
      <c r="K65" s="10">
        <v>3615.31</v>
      </c>
      <c r="L65" s="8" t="s">
        <v>28</v>
      </c>
      <c r="M65" s="8" t="s">
        <v>41</v>
      </c>
      <c r="N65" s="10">
        <v>292.26</v>
      </c>
      <c r="O65" s="10">
        <v>670.01</v>
      </c>
      <c r="P65" s="8" t="s">
        <v>52</v>
      </c>
      <c r="Q65" s="10">
        <v>25</v>
      </c>
      <c r="R65" s="10">
        <f xml:space="preserve"> Table1_2[[#This Row],[Yield (Kg/Ha)]]/Table1_2[[#This Row],[Area (Hectares)]]</f>
        <v>36.261885656970911</v>
      </c>
      <c r="S65" s="10">
        <f>Table1_2[[#This Row],[Yield per Acre]]/Table1_2[[#This Row],[Yield (Kg/Ha)]]</f>
        <v>1.0030090270812437E-2</v>
      </c>
      <c r="T65" s="11">
        <f>Table1_2[[#This Row],[Yield per Acre]]/N65</f>
        <v>0.12407406301570831</v>
      </c>
    </row>
    <row r="66" spans="1:20" x14ac:dyDescent="0.3">
      <c r="A66" s="8" t="s">
        <v>130</v>
      </c>
      <c r="B66" s="9">
        <v>2022</v>
      </c>
      <c r="C66" s="9" t="str">
        <f t="shared" ref="C66:C129" si="1">TEXT(B66,"YYYY-MM")</f>
        <v>1905-07</v>
      </c>
      <c r="D66" s="10">
        <v>2021</v>
      </c>
      <c r="E66" s="8" t="s">
        <v>31</v>
      </c>
      <c r="F66" s="8" t="s">
        <v>32</v>
      </c>
      <c r="G66" s="8" t="s">
        <v>38</v>
      </c>
      <c r="H66" s="8" t="s">
        <v>20</v>
      </c>
      <c r="I66" s="10">
        <v>66.599999999999994</v>
      </c>
      <c r="J66" s="10">
        <v>226.62</v>
      </c>
      <c r="K66" s="10">
        <v>3402.71</v>
      </c>
      <c r="L66" s="8" t="s">
        <v>21</v>
      </c>
      <c r="M66" s="8" t="s">
        <v>47</v>
      </c>
      <c r="N66" s="10">
        <v>163.71</v>
      </c>
      <c r="O66" s="10">
        <v>514.52</v>
      </c>
      <c r="P66" s="8" t="s">
        <v>70</v>
      </c>
      <c r="Q66" s="10">
        <v>21.74</v>
      </c>
      <c r="R66" s="10">
        <f xml:space="preserve"> Table1_2[[#This Row],[Yield (Kg/Ha)]]/Table1_2[[#This Row],[Area (Hectares)]]</f>
        <v>51.09174174174175</v>
      </c>
      <c r="S66" s="10">
        <f>Table1_2[[#This Row],[Yield per Acre]]/Table1_2[[#This Row],[Yield (Kg/Ha)]]</f>
        <v>1.5015015015015017E-2</v>
      </c>
      <c r="T66" s="11">
        <f>Table1_2[[#This Row],[Yield per Acre]]/N66</f>
        <v>0.31208687155177905</v>
      </c>
    </row>
    <row r="67" spans="1:20" x14ac:dyDescent="0.3">
      <c r="A67" s="8" t="s">
        <v>131</v>
      </c>
      <c r="B67" s="9">
        <v>2020</v>
      </c>
      <c r="C67" s="9" t="str">
        <f t="shared" si="1"/>
        <v>1905-07</v>
      </c>
      <c r="D67" s="10">
        <v>2020</v>
      </c>
      <c r="E67" s="8" t="s">
        <v>44</v>
      </c>
      <c r="F67" s="8" t="s">
        <v>45</v>
      </c>
      <c r="G67" s="8" t="s">
        <v>19</v>
      </c>
      <c r="H67" s="8" t="s">
        <v>46</v>
      </c>
      <c r="I67" s="10">
        <v>41.91</v>
      </c>
      <c r="J67" s="10">
        <v>89.08</v>
      </c>
      <c r="K67" s="10">
        <v>2125.5</v>
      </c>
      <c r="L67" s="8" t="s">
        <v>34</v>
      </c>
      <c r="M67" s="8" t="s">
        <v>49</v>
      </c>
      <c r="N67" s="10">
        <v>205.66</v>
      </c>
      <c r="O67" s="10">
        <v>698.49</v>
      </c>
      <c r="P67" s="8" t="s">
        <v>52</v>
      </c>
      <c r="Q67" s="10">
        <v>31.4</v>
      </c>
      <c r="R67" s="10">
        <f xml:space="preserve"> Table1_2[[#This Row],[Yield (Kg/Ha)]]/Table1_2[[#This Row],[Area (Hectares)]]</f>
        <v>50.715819613457413</v>
      </c>
      <c r="S67" s="10">
        <f>Table1_2[[#This Row],[Yield per Acre]]/Table1_2[[#This Row],[Yield (Kg/Ha)]]</f>
        <v>2.3860653781913627E-2</v>
      </c>
      <c r="T67" s="11">
        <f>Table1_2[[#This Row],[Yield per Acre]]/N67</f>
        <v>0.2466003093137091</v>
      </c>
    </row>
    <row r="68" spans="1:20" x14ac:dyDescent="0.3">
      <c r="A68" s="8" t="s">
        <v>132</v>
      </c>
      <c r="B68" s="9">
        <v>2014</v>
      </c>
      <c r="C68" s="9" t="str">
        <f t="shared" si="1"/>
        <v>1905-07</v>
      </c>
      <c r="D68" s="10">
        <v>2014</v>
      </c>
      <c r="E68" s="8" t="s">
        <v>59</v>
      </c>
      <c r="F68" s="8" t="s">
        <v>60</v>
      </c>
      <c r="G68" s="8" t="s">
        <v>38</v>
      </c>
      <c r="H68" s="8" t="s">
        <v>39</v>
      </c>
      <c r="I68" s="10">
        <v>48.99</v>
      </c>
      <c r="J68" s="10">
        <v>57.48</v>
      </c>
      <c r="K68" s="10">
        <v>1173.22</v>
      </c>
      <c r="L68" s="8" t="s">
        <v>40</v>
      </c>
      <c r="M68" s="8" t="s">
        <v>41</v>
      </c>
      <c r="N68" s="10">
        <v>227.45</v>
      </c>
      <c r="O68" s="10">
        <v>510.75</v>
      </c>
      <c r="P68" s="8" t="s">
        <v>23</v>
      </c>
      <c r="Q68" s="10">
        <v>28.28</v>
      </c>
      <c r="R68" s="10">
        <f xml:space="preserve"> Table1_2[[#This Row],[Yield (Kg/Ha)]]/Table1_2[[#This Row],[Area (Hectares)]]</f>
        <v>23.94815268422127</v>
      </c>
      <c r="S68" s="10">
        <f>Table1_2[[#This Row],[Yield per Acre]]/Table1_2[[#This Row],[Yield (Kg/Ha)]]</f>
        <v>2.0412329046744233E-2</v>
      </c>
      <c r="T68" s="11">
        <f>Table1_2[[#This Row],[Yield per Acre]]/N68</f>
        <v>0.10528974580884269</v>
      </c>
    </row>
    <row r="69" spans="1:20" x14ac:dyDescent="0.3">
      <c r="A69" s="8" t="s">
        <v>133</v>
      </c>
      <c r="B69" s="9">
        <v>2017</v>
      </c>
      <c r="C69" s="9" t="str">
        <f t="shared" si="1"/>
        <v>1905-07</v>
      </c>
      <c r="D69" s="10">
        <v>2017</v>
      </c>
      <c r="E69" s="8" t="s">
        <v>44</v>
      </c>
      <c r="F69" s="8" t="s">
        <v>45</v>
      </c>
      <c r="G69" s="8" t="s">
        <v>33</v>
      </c>
      <c r="H69" s="8" t="s">
        <v>39</v>
      </c>
      <c r="I69" s="10">
        <v>83.38</v>
      </c>
      <c r="J69" s="10">
        <v>332.71</v>
      </c>
      <c r="K69" s="10">
        <v>3990.25</v>
      </c>
      <c r="L69" s="8" t="s">
        <v>34</v>
      </c>
      <c r="M69" s="8" t="s">
        <v>29</v>
      </c>
      <c r="N69" s="10">
        <v>177.22</v>
      </c>
      <c r="O69" s="10">
        <v>473.42</v>
      </c>
      <c r="P69" s="8" t="s">
        <v>52</v>
      </c>
      <c r="Q69" s="10">
        <v>34.700000000000003</v>
      </c>
      <c r="R69" s="10">
        <f xml:space="preserve"> Table1_2[[#This Row],[Yield (Kg/Ha)]]/Table1_2[[#This Row],[Area (Hectares)]]</f>
        <v>47.856200527704488</v>
      </c>
      <c r="S69" s="10">
        <f>Table1_2[[#This Row],[Yield per Acre]]/Table1_2[[#This Row],[Yield (Kg/Ha)]]</f>
        <v>1.1993283761093787E-2</v>
      </c>
      <c r="T69" s="11">
        <f>Table1_2[[#This Row],[Yield per Acre]]/N69</f>
        <v>0.27003837336476971</v>
      </c>
    </row>
    <row r="70" spans="1:20" x14ac:dyDescent="0.3">
      <c r="A70" s="8" t="s">
        <v>134</v>
      </c>
      <c r="B70" s="9">
        <v>2016</v>
      </c>
      <c r="C70" s="9" t="str">
        <f t="shared" si="1"/>
        <v>1905-07</v>
      </c>
      <c r="D70" s="10">
        <v>2016</v>
      </c>
      <c r="E70" s="8" t="s">
        <v>59</v>
      </c>
      <c r="F70" s="8" t="s">
        <v>60</v>
      </c>
      <c r="G70" s="8" t="s">
        <v>33</v>
      </c>
      <c r="H70" s="8" t="s">
        <v>27</v>
      </c>
      <c r="I70" s="10">
        <v>51.32</v>
      </c>
      <c r="J70" s="10">
        <v>322.08</v>
      </c>
      <c r="K70" s="10">
        <v>6275.96</v>
      </c>
      <c r="L70" s="8" t="s">
        <v>21</v>
      </c>
      <c r="M70" s="8" t="s">
        <v>49</v>
      </c>
      <c r="N70" s="10">
        <v>119.06</v>
      </c>
      <c r="O70" s="10">
        <v>990.01</v>
      </c>
      <c r="P70" s="8" t="s">
        <v>52</v>
      </c>
      <c r="Q70" s="10">
        <v>25.1</v>
      </c>
      <c r="R70" s="10">
        <f xml:space="preserve"> Table1_2[[#This Row],[Yield (Kg/Ha)]]/Table1_2[[#This Row],[Area (Hectares)]]</f>
        <v>122.29072486360093</v>
      </c>
      <c r="S70" s="10">
        <f>Table1_2[[#This Row],[Yield per Acre]]/Table1_2[[#This Row],[Yield (Kg/Ha)]]</f>
        <v>1.9485580670303974E-2</v>
      </c>
      <c r="T70" s="11">
        <f>Table1_2[[#This Row],[Yield per Acre]]/N70</f>
        <v>1.0271352667865019</v>
      </c>
    </row>
    <row r="71" spans="1:20" x14ac:dyDescent="0.3">
      <c r="A71" s="8" t="s">
        <v>135</v>
      </c>
      <c r="B71" s="9">
        <v>2014</v>
      </c>
      <c r="C71" s="9" t="str">
        <f t="shared" si="1"/>
        <v>1905-07</v>
      </c>
      <c r="D71" s="10">
        <v>2014</v>
      </c>
      <c r="E71" s="8" t="s">
        <v>44</v>
      </c>
      <c r="F71" s="8" t="s">
        <v>45</v>
      </c>
      <c r="G71" s="8" t="s">
        <v>19</v>
      </c>
      <c r="H71" s="8" t="s">
        <v>20</v>
      </c>
      <c r="I71" s="10">
        <v>83.91</v>
      </c>
      <c r="J71" s="10">
        <v>375.88</v>
      </c>
      <c r="K71" s="10">
        <v>4479.54</v>
      </c>
      <c r="L71" s="8" t="s">
        <v>28</v>
      </c>
      <c r="M71" s="8" t="s">
        <v>47</v>
      </c>
      <c r="N71" s="10">
        <v>266.32</v>
      </c>
      <c r="O71" s="10">
        <v>646.54999999999995</v>
      </c>
      <c r="P71" s="8" t="s">
        <v>52</v>
      </c>
      <c r="Q71" s="10">
        <v>25.18</v>
      </c>
      <c r="R71" s="10">
        <f xml:space="preserve"> Table1_2[[#This Row],[Yield (Kg/Ha)]]/Table1_2[[#This Row],[Area (Hectares)]]</f>
        <v>53.385055416517702</v>
      </c>
      <c r="S71" s="10">
        <f>Table1_2[[#This Row],[Yield per Acre]]/Table1_2[[#This Row],[Yield (Kg/Ha)]]</f>
        <v>1.1917530687641521E-2</v>
      </c>
      <c r="T71" s="11">
        <f>Table1_2[[#This Row],[Yield per Acre]]/N71</f>
        <v>0.20045454872528426</v>
      </c>
    </row>
    <row r="72" spans="1:20" x14ac:dyDescent="0.3">
      <c r="A72" s="8" t="s">
        <v>136</v>
      </c>
      <c r="B72" s="9">
        <v>2015</v>
      </c>
      <c r="C72" s="9" t="str">
        <f t="shared" si="1"/>
        <v>1905-07</v>
      </c>
      <c r="D72" s="10">
        <v>2015</v>
      </c>
      <c r="E72" s="8" t="s">
        <v>36</v>
      </c>
      <c r="F72" s="8" t="s">
        <v>51</v>
      </c>
      <c r="G72" s="8" t="s">
        <v>33</v>
      </c>
      <c r="H72" s="8" t="s">
        <v>39</v>
      </c>
      <c r="I72" s="10">
        <v>24.64</v>
      </c>
      <c r="J72" s="10">
        <v>81.260000000000005</v>
      </c>
      <c r="K72" s="10">
        <v>3297.83</v>
      </c>
      <c r="L72" s="8" t="s">
        <v>28</v>
      </c>
      <c r="M72" s="8" t="s">
        <v>29</v>
      </c>
      <c r="N72" s="10">
        <v>60.91</v>
      </c>
      <c r="O72" s="10">
        <v>944.71</v>
      </c>
      <c r="P72" s="8" t="s">
        <v>52</v>
      </c>
      <c r="Q72" s="10">
        <v>25.79</v>
      </c>
      <c r="R72" s="10">
        <f xml:space="preserve"> Table1_2[[#This Row],[Yield (Kg/Ha)]]/Table1_2[[#This Row],[Area (Hectares)]]</f>
        <v>133.84050324675323</v>
      </c>
      <c r="S72" s="10">
        <f>Table1_2[[#This Row],[Yield per Acre]]/Table1_2[[#This Row],[Yield (Kg/Ha)]]</f>
        <v>4.0584415584415577E-2</v>
      </c>
      <c r="T72" s="11">
        <f>Table1_2[[#This Row],[Yield per Acre]]/N72</f>
        <v>2.1973486003407197</v>
      </c>
    </row>
    <row r="73" spans="1:20" x14ac:dyDescent="0.3">
      <c r="A73" s="8" t="s">
        <v>137</v>
      </c>
      <c r="B73" s="9">
        <v>2018</v>
      </c>
      <c r="C73" s="9" t="str">
        <f t="shared" si="1"/>
        <v>1905-07</v>
      </c>
      <c r="D73" s="10">
        <v>2018</v>
      </c>
      <c r="E73" s="8" t="s">
        <v>25</v>
      </c>
      <c r="F73" s="8" t="s">
        <v>26</v>
      </c>
      <c r="G73" s="8" t="s">
        <v>19</v>
      </c>
      <c r="H73" s="8" t="s">
        <v>20</v>
      </c>
      <c r="I73" s="10">
        <v>87.1</v>
      </c>
      <c r="J73" s="10">
        <v>543.95000000000005</v>
      </c>
      <c r="K73" s="10">
        <v>6245.14</v>
      </c>
      <c r="L73" s="8" t="s">
        <v>28</v>
      </c>
      <c r="M73" s="8" t="s">
        <v>41</v>
      </c>
      <c r="N73" s="10">
        <v>74.930000000000007</v>
      </c>
      <c r="O73" s="10">
        <v>1110.44</v>
      </c>
      <c r="P73" s="8" t="s">
        <v>23</v>
      </c>
      <c r="Q73" s="10">
        <v>30.84</v>
      </c>
      <c r="R73" s="10">
        <f xml:space="preserve"> Table1_2[[#This Row],[Yield (Kg/Ha)]]/Table1_2[[#This Row],[Area (Hectares)]]</f>
        <v>71.700803673938012</v>
      </c>
      <c r="S73" s="10">
        <f>Table1_2[[#This Row],[Yield per Acre]]/Table1_2[[#This Row],[Yield (Kg/Ha)]]</f>
        <v>1.1481056257175661E-2</v>
      </c>
      <c r="T73" s="11">
        <f>Table1_2[[#This Row],[Yield per Acre]]/N73</f>
        <v>0.95690382589000411</v>
      </c>
    </row>
    <row r="74" spans="1:20" x14ac:dyDescent="0.3">
      <c r="A74" s="8" t="s">
        <v>138</v>
      </c>
      <c r="B74" s="9">
        <v>2023</v>
      </c>
      <c r="C74" s="9" t="str">
        <f t="shared" si="1"/>
        <v>1905-07</v>
      </c>
      <c r="D74" s="10">
        <v>2022</v>
      </c>
      <c r="E74" s="8" t="s">
        <v>25</v>
      </c>
      <c r="F74" s="8" t="s">
        <v>87</v>
      </c>
      <c r="G74" s="8" t="s">
        <v>38</v>
      </c>
      <c r="H74" s="8" t="s">
        <v>20</v>
      </c>
      <c r="I74" s="10">
        <v>62.7</v>
      </c>
      <c r="J74" s="10">
        <v>212.23</v>
      </c>
      <c r="K74" s="10">
        <v>3384.9</v>
      </c>
      <c r="L74" s="8" t="s">
        <v>21</v>
      </c>
      <c r="M74" s="8" t="s">
        <v>29</v>
      </c>
      <c r="N74" s="10">
        <v>262.94</v>
      </c>
      <c r="O74" s="10">
        <v>1052.3399999999999</v>
      </c>
      <c r="P74" s="8" t="s">
        <v>61</v>
      </c>
      <c r="Q74" s="10">
        <v>25.7</v>
      </c>
      <c r="R74" s="10">
        <f xml:space="preserve"> Table1_2[[#This Row],[Yield (Kg/Ha)]]/Table1_2[[#This Row],[Area (Hectares)]]</f>
        <v>53.985645933014354</v>
      </c>
      <c r="S74" s="10">
        <f>Table1_2[[#This Row],[Yield per Acre]]/Table1_2[[#This Row],[Yield (Kg/Ha)]]</f>
        <v>1.5948963317384369E-2</v>
      </c>
      <c r="T74" s="11">
        <f>Table1_2[[#This Row],[Yield per Acre]]/N74</f>
        <v>0.2053154557428096</v>
      </c>
    </row>
    <row r="75" spans="1:20" x14ac:dyDescent="0.3">
      <c r="A75" s="8" t="s">
        <v>139</v>
      </c>
      <c r="B75" s="9">
        <v>2010</v>
      </c>
      <c r="C75" s="9" t="str">
        <f t="shared" si="1"/>
        <v>1905-07</v>
      </c>
      <c r="D75" s="10">
        <v>2010</v>
      </c>
      <c r="E75" s="8" t="s">
        <v>44</v>
      </c>
      <c r="F75" s="8" t="s">
        <v>67</v>
      </c>
      <c r="G75" s="8" t="s">
        <v>19</v>
      </c>
      <c r="H75" s="8" t="s">
        <v>64</v>
      </c>
      <c r="I75" s="10">
        <v>24.24</v>
      </c>
      <c r="J75" s="10">
        <v>123.78</v>
      </c>
      <c r="K75" s="10">
        <v>5106.3999999999996</v>
      </c>
      <c r="L75" s="8" t="s">
        <v>34</v>
      </c>
      <c r="M75" s="8" t="s">
        <v>22</v>
      </c>
      <c r="N75" s="10">
        <v>299.36</v>
      </c>
      <c r="O75" s="10">
        <v>946.77</v>
      </c>
      <c r="P75" s="8" t="s">
        <v>52</v>
      </c>
      <c r="Q75" s="10">
        <v>34.68</v>
      </c>
      <c r="R75" s="10">
        <f xml:space="preserve"> Table1_2[[#This Row],[Yield (Kg/Ha)]]/Table1_2[[#This Row],[Area (Hectares)]]</f>
        <v>210.66006600660066</v>
      </c>
      <c r="S75" s="10">
        <f>Table1_2[[#This Row],[Yield per Acre]]/Table1_2[[#This Row],[Yield (Kg/Ha)]]</f>
        <v>4.1254125412541254E-2</v>
      </c>
      <c r="T75" s="11">
        <f>Table1_2[[#This Row],[Yield per Acre]]/N75</f>
        <v>0.70370144978153615</v>
      </c>
    </row>
    <row r="76" spans="1:20" x14ac:dyDescent="0.3">
      <c r="A76" s="8" t="s">
        <v>140</v>
      </c>
      <c r="B76" s="9">
        <v>2022</v>
      </c>
      <c r="C76" s="9" t="str">
        <f t="shared" si="1"/>
        <v>1905-07</v>
      </c>
      <c r="D76" s="10">
        <v>2021</v>
      </c>
      <c r="E76" s="8" t="s">
        <v>36</v>
      </c>
      <c r="F76" s="8" t="s">
        <v>37</v>
      </c>
      <c r="G76" s="8" t="s">
        <v>38</v>
      </c>
      <c r="H76" s="8" t="s">
        <v>64</v>
      </c>
      <c r="I76" s="10">
        <v>5.55</v>
      </c>
      <c r="J76" s="10">
        <v>32.06</v>
      </c>
      <c r="K76" s="10">
        <v>5776.86</v>
      </c>
      <c r="L76" s="8" t="s">
        <v>34</v>
      </c>
      <c r="M76" s="8" t="s">
        <v>41</v>
      </c>
      <c r="N76" s="10">
        <v>139.62</v>
      </c>
      <c r="O76" s="10">
        <v>630.69000000000005</v>
      </c>
      <c r="P76" s="8" t="s">
        <v>42</v>
      </c>
      <c r="Q76" s="10">
        <v>27.97</v>
      </c>
      <c r="R76" s="10">
        <f xml:space="preserve"> Table1_2[[#This Row],[Yield (Kg/Ha)]]/Table1_2[[#This Row],[Area (Hectares)]]</f>
        <v>1040.8756756756757</v>
      </c>
      <c r="S76" s="10">
        <f>Table1_2[[#This Row],[Yield per Acre]]/Table1_2[[#This Row],[Yield (Kg/Ha)]]</f>
        <v>0.1801801801801802</v>
      </c>
      <c r="T76" s="11">
        <f>Table1_2[[#This Row],[Yield per Acre]]/N76</f>
        <v>7.4550614215418678</v>
      </c>
    </row>
    <row r="77" spans="1:20" x14ac:dyDescent="0.3">
      <c r="A77" s="8" t="s">
        <v>141</v>
      </c>
      <c r="B77" s="9">
        <v>2011</v>
      </c>
      <c r="C77" s="9" t="str">
        <f t="shared" si="1"/>
        <v>1905-07</v>
      </c>
      <c r="D77" s="10">
        <v>2011</v>
      </c>
      <c r="E77" s="8" t="s">
        <v>103</v>
      </c>
      <c r="F77" s="8" t="s">
        <v>104</v>
      </c>
      <c r="G77" s="8" t="s">
        <v>19</v>
      </c>
      <c r="H77" s="8" t="s">
        <v>46</v>
      </c>
      <c r="I77" s="10">
        <v>62.35</v>
      </c>
      <c r="J77" s="10">
        <v>152.44</v>
      </c>
      <c r="K77" s="10">
        <v>2444.98</v>
      </c>
      <c r="L77" s="8" t="s">
        <v>40</v>
      </c>
      <c r="M77" s="8" t="s">
        <v>29</v>
      </c>
      <c r="N77" s="10">
        <v>108.05</v>
      </c>
      <c r="O77" s="10">
        <v>837.9</v>
      </c>
      <c r="P77" s="8" t="s">
        <v>52</v>
      </c>
      <c r="Q77" s="10">
        <v>23.83</v>
      </c>
      <c r="R77" s="10">
        <f xml:space="preserve"> Table1_2[[#This Row],[Yield (Kg/Ha)]]/Table1_2[[#This Row],[Area (Hectares)]]</f>
        <v>39.213793103448275</v>
      </c>
      <c r="S77" s="10">
        <f>Table1_2[[#This Row],[Yield per Acre]]/Table1_2[[#This Row],[Yield (Kg/Ha)]]</f>
        <v>1.6038492381716118E-2</v>
      </c>
      <c r="T77" s="11">
        <f>Table1_2[[#This Row],[Yield per Acre]]/N77</f>
        <v>0.36292265713510669</v>
      </c>
    </row>
    <row r="78" spans="1:20" x14ac:dyDescent="0.3">
      <c r="A78" s="8" t="s">
        <v>142</v>
      </c>
      <c r="B78" s="9">
        <v>2018</v>
      </c>
      <c r="C78" s="9" t="str">
        <f t="shared" si="1"/>
        <v>1905-07</v>
      </c>
      <c r="D78" s="10">
        <v>2018</v>
      </c>
      <c r="E78" s="8" t="s">
        <v>31</v>
      </c>
      <c r="F78" s="8" t="s">
        <v>117</v>
      </c>
      <c r="G78" s="8" t="s">
        <v>33</v>
      </c>
      <c r="H78" s="8" t="s">
        <v>64</v>
      </c>
      <c r="I78" s="10">
        <v>44.73</v>
      </c>
      <c r="J78" s="10">
        <v>137.47</v>
      </c>
      <c r="K78" s="10">
        <v>3073.39</v>
      </c>
      <c r="L78" s="8" t="s">
        <v>34</v>
      </c>
      <c r="M78" s="8" t="s">
        <v>41</v>
      </c>
      <c r="N78" s="10">
        <v>209.73</v>
      </c>
      <c r="O78" s="10">
        <v>624.30999999999995</v>
      </c>
      <c r="P78" s="8" t="s">
        <v>70</v>
      </c>
      <c r="Q78" s="10">
        <v>26.85</v>
      </c>
      <c r="R78" s="10">
        <f xml:space="preserve"> Table1_2[[#This Row],[Yield (Kg/Ha)]]/Table1_2[[#This Row],[Area (Hectares)]]</f>
        <v>68.70981444220881</v>
      </c>
      <c r="S78" s="10">
        <f>Table1_2[[#This Row],[Yield per Acre]]/Table1_2[[#This Row],[Yield (Kg/Ha)]]</f>
        <v>2.23563603845294E-2</v>
      </c>
      <c r="T78" s="11">
        <f>Table1_2[[#This Row],[Yield per Acre]]/N78</f>
        <v>0.32761080647598728</v>
      </c>
    </row>
    <row r="79" spans="1:20" x14ac:dyDescent="0.3">
      <c r="A79" s="8" t="s">
        <v>143</v>
      </c>
      <c r="B79" s="9">
        <v>2011</v>
      </c>
      <c r="C79" s="9" t="str">
        <f t="shared" si="1"/>
        <v>1905-07</v>
      </c>
      <c r="D79" s="10">
        <v>2011</v>
      </c>
      <c r="E79" s="8" t="s">
        <v>36</v>
      </c>
      <c r="F79" s="8" t="s">
        <v>51</v>
      </c>
      <c r="G79" s="8" t="s">
        <v>33</v>
      </c>
      <c r="H79" s="8" t="s">
        <v>46</v>
      </c>
      <c r="I79" s="10">
        <v>57.62</v>
      </c>
      <c r="J79" s="10">
        <v>256.33999999999997</v>
      </c>
      <c r="K79" s="10">
        <v>4448.87</v>
      </c>
      <c r="L79" s="8" t="s">
        <v>34</v>
      </c>
      <c r="M79" s="8" t="s">
        <v>22</v>
      </c>
      <c r="N79" s="10">
        <v>55.48</v>
      </c>
      <c r="O79" s="10">
        <v>1030.04</v>
      </c>
      <c r="P79" s="8" t="s">
        <v>52</v>
      </c>
      <c r="Q79" s="10">
        <v>24.12</v>
      </c>
      <c r="R79" s="10">
        <f xml:space="preserve"> Table1_2[[#This Row],[Yield (Kg/Ha)]]/Table1_2[[#This Row],[Area (Hectares)]]</f>
        <v>77.210517181534186</v>
      </c>
      <c r="S79" s="10">
        <f>Table1_2[[#This Row],[Yield per Acre]]/Table1_2[[#This Row],[Yield (Kg/Ha)]]</f>
        <v>1.7355085039916694E-2</v>
      </c>
      <c r="T79" s="11">
        <f>Table1_2[[#This Row],[Yield per Acre]]/N79</f>
        <v>1.3916819967832406</v>
      </c>
    </row>
    <row r="80" spans="1:20" x14ac:dyDescent="0.3">
      <c r="A80" s="8" t="s">
        <v>144</v>
      </c>
      <c r="B80" s="9">
        <v>2017</v>
      </c>
      <c r="C80" s="9" t="str">
        <f t="shared" si="1"/>
        <v>1905-07</v>
      </c>
      <c r="D80" s="10">
        <v>2017</v>
      </c>
      <c r="E80" s="8" t="s">
        <v>59</v>
      </c>
      <c r="F80" s="8" t="s">
        <v>93</v>
      </c>
      <c r="G80" s="8" t="s">
        <v>38</v>
      </c>
      <c r="H80" s="8" t="s">
        <v>56</v>
      </c>
      <c r="I80" s="10">
        <v>61.1</v>
      </c>
      <c r="J80" s="10">
        <v>190.26</v>
      </c>
      <c r="K80" s="10">
        <v>3113.93</v>
      </c>
      <c r="L80" s="8" t="s">
        <v>40</v>
      </c>
      <c r="M80" s="8" t="s">
        <v>49</v>
      </c>
      <c r="N80" s="10">
        <v>205.22</v>
      </c>
      <c r="O80" s="10">
        <v>877.76</v>
      </c>
      <c r="P80" s="8" t="s">
        <v>42</v>
      </c>
      <c r="Q80" s="10">
        <v>29.42</v>
      </c>
      <c r="R80" s="10">
        <f xml:space="preserve"> Table1_2[[#This Row],[Yield (Kg/Ha)]]/Table1_2[[#This Row],[Area (Hectares)]]</f>
        <v>50.964484451718491</v>
      </c>
      <c r="S80" s="10">
        <f>Table1_2[[#This Row],[Yield per Acre]]/Table1_2[[#This Row],[Yield (Kg/Ha)]]</f>
        <v>1.6366612111292964E-2</v>
      </c>
      <c r="T80" s="11">
        <f>Table1_2[[#This Row],[Yield per Acre]]/N80</f>
        <v>0.24834072922579911</v>
      </c>
    </row>
    <row r="81" spans="1:20" x14ac:dyDescent="0.3">
      <c r="A81" s="8" t="s">
        <v>145</v>
      </c>
      <c r="B81" s="9">
        <v>2010</v>
      </c>
      <c r="C81" s="9" t="str">
        <f t="shared" si="1"/>
        <v>1905-07</v>
      </c>
      <c r="D81" s="10">
        <v>2010</v>
      </c>
      <c r="E81" s="8" t="s">
        <v>44</v>
      </c>
      <c r="F81" s="8" t="s">
        <v>99</v>
      </c>
      <c r="G81" s="8" t="s">
        <v>19</v>
      </c>
      <c r="H81" s="8" t="s">
        <v>20</v>
      </c>
      <c r="I81" s="10">
        <v>73.5</v>
      </c>
      <c r="J81" s="10">
        <v>113.25</v>
      </c>
      <c r="K81" s="10">
        <v>1540.8</v>
      </c>
      <c r="L81" s="8" t="s">
        <v>34</v>
      </c>
      <c r="M81" s="8" t="s">
        <v>49</v>
      </c>
      <c r="N81" s="10">
        <v>131.68</v>
      </c>
      <c r="O81" s="10">
        <v>615.5</v>
      </c>
      <c r="P81" s="8" t="s">
        <v>42</v>
      </c>
      <c r="Q81" s="10">
        <v>21.98</v>
      </c>
      <c r="R81" s="10">
        <f xml:space="preserve"> Table1_2[[#This Row],[Yield (Kg/Ha)]]/Table1_2[[#This Row],[Area (Hectares)]]</f>
        <v>20.963265306122448</v>
      </c>
      <c r="S81" s="10">
        <f>Table1_2[[#This Row],[Yield per Acre]]/Table1_2[[#This Row],[Yield (Kg/Ha)]]</f>
        <v>1.3605442176870748E-2</v>
      </c>
      <c r="T81" s="11">
        <f>Table1_2[[#This Row],[Yield per Acre]]/N81</f>
        <v>0.15919855183871845</v>
      </c>
    </row>
    <row r="82" spans="1:20" x14ac:dyDescent="0.3">
      <c r="A82" s="8" t="s">
        <v>146</v>
      </c>
      <c r="B82" s="9">
        <v>2014</v>
      </c>
      <c r="C82" s="9" t="str">
        <f t="shared" si="1"/>
        <v>1905-07</v>
      </c>
      <c r="D82" s="10">
        <v>2014</v>
      </c>
      <c r="E82" s="8" t="s">
        <v>59</v>
      </c>
      <c r="F82" s="8" t="s">
        <v>93</v>
      </c>
      <c r="G82" s="8" t="s">
        <v>33</v>
      </c>
      <c r="H82" s="8" t="s">
        <v>20</v>
      </c>
      <c r="I82" s="10">
        <v>91.49</v>
      </c>
      <c r="J82" s="10">
        <v>609.79</v>
      </c>
      <c r="K82" s="10">
        <v>6665.13</v>
      </c>
      <c r="L82" s="8" t="s">
        <v>34</v>
      </c>
      <c r="M82" s="8" t="s">
        <v>41</v>
      </c>
      <c r="N82" s="10">
        <v>236.64</v>
      </c>
      <c r="O82" s="10">
        <v>538.72</v>
      </c>
      <c r="P82" s="8" t="s">
        <v>23</v>
      </c>
      <c r="Q82" s="10">
        <v>27.02</v>
      </c>
      <c r="R82" s="10">
        <f xml:space="preserve"> Table1_2[[#This Row],[Yield (Kg/Ha)]]/Table1_2[[#This Row],[Area (Hectares)]]</f>
        <v>72.850912668051151</v>
      </c>
      <c r="S82" s="10">
        <f>Table1_2[[#This Row],[Yield per Acre]]/Table1_2[[#This Row],[Yield (Kg/Ha)]]</f>
        <v>1.0930156301235108E-2</v>
      </c>
      <c r="T82" s="11">
        <f>Table1_2[[#This Row],[Yield per Acre]]/N82</f>
        <v>0.30785544568987133</v>
      </c>
    </row>
    <row r="83" spans="1:20" x14ac:dyDescent="0.3">
      <c r="A83" s="8" t="s">
        <v>147</v>
      </c>
      <c r="B83" s="9">
        <v>2020</v>
      </c>
      <c r="C83" s="9" t="str">
        <f t="shared" si="1"/>
        <v>1905-07</v>
      </c>
      <c r="D83" s="10">
        <v>2020</v>
      </c>
      <c r="E83" s="8" t="s">
        <v>44</v>
      </c>
      <c r="F83" s="8" t="s">
        <v>45</v>
      </c>
      <c r="G83" s="8" t="s">
        <v>19</v>
      </c>
      <c r="H83" s="8" t="s">
        <v>39</v>
      </c>
      <c r="I83" s="10">
        <v>98.01</v>
      </c>
      <c r="J83" s="10">
        <v>666.82</v>
      </c>
      <c r="K83" s="10">
        <v>6803.62</v>
      </c>
      <c r="L83" s="8" t="s">
        <v>34</v>
      </c>
      <c r="M83" s="8" t="s">
        <v>49</v>
      </c>
      <c r="N83" s="10">
        <v>72.58</v>
      </c>
      <c r="O83" s="10">
        <v>594.57000000000005</v>
      </c>
      <c r="P83" s="8" t="s">
        <v>70</v>
      </c>
      <c r="Q83" s="10">
        <v>28.05</v>
      </c>
      <c r="R83" s="10">
        <f xml:space="preserve"> Table1_2[[#This Row],[Yield (Kg/Ha)]]/Table1_2[[#This Row],[Area (Hectares)]]</f>
        <v>69.417610447913475</v>
      </c>
      <c r="S83" s="10">
        <f>Table1_2[[#This Row],[Yield per Acre]]/Table1_2[[#This Row],[Yield (Kg/Ha)]]</f>
        <v>1.0203040506070809E-2</v>
      </c>
      <c r="T83" s="11">
        <f>Table1_2[[#This Row],[Yield per Acre]]/N83</f>
        <v>0.95642891220602755</v>
      </c>
    </row>
    <row r="84" spans="1:20" x14ac:dyDescent="0.3">
      <c r="A84" s="8" t="s">
        <v>148</v>
      </c>
      <c r="B84" s="9">
        <v>2021</v>
      </c>
      <c r="C84" s="9" t="str">
        <f t="shared" si="1"/>
        <v>1905-07</v>
      </c>
      <c r="D84" s="10">
        <v>2020</v>
      </c>
      <c r="E84" s="8" t="s">
        <v>17</v>
      </c>
      <c r="F84" s="8" t="s">
        <v>54</v>
      </c>
      <c r="G84" s="8" t="s">
        <v>38</v>
      </c>
      <c r="H84" s="8" t="s">
        <v>27</v>
      </c>
      <c r="I84" s="10">
        <v>38.72</v>
      </c>
      <c r="J84" s="10">
        <v>187.07</v>
      </c>
      <c r="K84" s="10">
        <v>4831.3</v>
      </c>
      <c r="L84" s="8" t="s">
        <v>34</v>
      </c>
      <c r="M84" s="8" t="s">
        <v>49</v>
      </c>
      <c r="N84" s="10">
        <v>77.09</v>
      </c>
      <c r="O84" s="10">
        <v>433.82</v>
      </c>
      <c r="P84" s="8" t="s">
        <v>23</v>
      </c>
      <c r="Q84" s="10">
        <v>29.29</v>
      </c>
      <c r="R84" s="10">
        <f xml:space="preserve"> Table1_2[[#This Row],[Yield (Kg/Ha)]]/Table1_2[[#This Row],[Area (Hectares)]]</f>
        <v>124.77530991735539</v>
      </c>
      <c r="S84" s="10">
        <f>Table1_2[[#This Row],[Yield per Acre]]/Table1_2[[#This Row],[Yield (Kg/Ha)]]</f>
        <v>2.5826446280991736E-2</v>
      </c>
      <c r="T84" s="11">
        <f>Table1_2[[#This Row],[Yield per Acre]]/N84</f>
        <v>1.6185667391017691</v>
      </c>
    </row>
    <row r="85" spans="1:20" x14ac:dyDescent="0.3">
      <c r="A85" s="8" t="s">
        <v>149</v>
      </c>
      <c r="B85" s="9">
        <v>2020</v>
      </c>
      <c r="C85" s="9" t="str">
        <f t="shared" si="1"/>
        <v>1905-07</v>
      </c>
      <c r="D85" s="10">
        <v>2020</v>
      </c>
      <c r="E85" s="8" t="s">
        <v>59</v>
      </c>
      <c r="F85" s="8" t="s">
        <v>60</v>
      </c>
      <c r="G85" s="8" t="s">
        <v>33</v>
      </c>
      <c r="H85" s="8" t="s">
        <v>39</v>
      </c>
      <c r="I85" s="10">
        <v>82.56</v>
      </c>
      <c r="J85" s="10">
        <v>533.03</v>
      </c>
      <c r="K85" s="10">
        <v>6456.33</v>
      </c>
      <c r="L85" s="8" t="s">
        <v>34</v>
      </c>
      <c r="M85" s="8" t="s">
        <v>29</v>
      </c>
      <c r="N85" s="10">
        <v>212.31</v>
      </c>
      <c r="O85" s="10">
        <v>316.68</v>
      </c>
      <c r="P85" s="8" t="s">
        <v>23</v>
      </c>
      <c r="Q85" s="10">
        <v>34.19</v>
      </c>
      <c r="R85" s="10">
        <f xml:space="preserve"> Table1_2[[#This Row],[Yield (Kg/Ha)]]/Table1_2[[#This Row],[Area (Hectares)]]</f>
        <v>78.201671511627907</v>
      </c>
      <c r="S85" s="10">
        <f>Table1_2[[#This Row],[Yield per Acre]]/Table1_2[[#This Row],[Yield (Kg/Ha)]]</f>
        <v>1.2112403100775194E-2</v>
      </c>
      <c r="T85" s="11">
        <f>Table1_2[[#This Row],[Yield per Acre]]/N85</f>
        <v>0.36833720273010179</v>
      </c>
    </row>
    <row r="86" spans="1:20" x14ac:dyDescent="0.3">
      <c r="A86" s="8" t="s">
        <v>150</v>
      </c>
      <c r="B86" s="9">
        <v>2013</v>
      </c>
      <c r="C86" s="9" t="str">
        <f t="shared" si="1"/>
        <v>1905-07</v>
      </c>
      <c r="D86" s="10">
        <v>2013</v>
      </c>
      <c r="E86" s="8" t="s">
        <v>25</v>
      </c>
      <c r="F86" s="8" t="s">
        <v>26</v>
      </c>
      <c r="G86" s="8" t="s">
        <v>19</v>
      </c>
      <c r="H86" s="8" t="s">
        <v>56</v>
      </c>
      <c r="I86" s="10">
        <v>39.479999999999997</v>
      </c>
      <c r="J86" s="10">
        <v>127.37</v>
      </c>
      <c r="K86" s="10">
        <v>3226.07</v>
      </c>
      <c r="L86" s="8" t="s">
        <v>28</v>
      </c>
      <c r="M86" s="8" t="s">
        <v>29</v>
      </c>
      <c r="N86" s="10">
        <v>196.84</v>
      </c>
      <c r="O86" s="10">
        <v>926.6</v>
      </c>
      <c r="P86" s="8" t="s">
        <v>52</v>
      </c>
      <c r="Q86" s="10">
        <v>29.82</v>
      </c>
      <c r="R86" s="10">
        <f xml:space="preserve"> Table1_2[[#This Row],[Yield (Kg/Ha)]]/Table1_2[[#This Row],[Area (Hectares)]]</f>
        <v>81.714032421479246</v>
      </c>
      <c r="S86" s="10">
        <f>Table1_2[[#This Row],[Yield per Acre]]/Table1_2[[#This Row],[Yield (Kg/Ha)]]</f>
        <v>2.5329280648429587E-2</v>
      </c>
      <c r="T86" s="11">
        <f>Table1_2[[#This Row],[Yield per Acre]]/N86</f>
        <v>0.4151292035230606</v>
      </c>
    </row>
    <row r="87" spans="1:20" x14ac:dyDescent="0.3">
      <c r="A87" s="8" t="s">
        <v>151</v>
      </c>
      <c r="B87" s="9">
        <v>2014</v>
      </c>
      <c r="C87" s="9" t="str">
        <f t="shared" si="1"/>
        <v>1905-07</v>
      </c>
      <c r="D87" s="10">
        <v>2014</v>
      </c>
      <c r="E87" s="8" t="s">
        <v>59</v>
      </c>
      <c r="F87" s="8" t="s">
        <v>63</v>
      </c>
      <c r="G87" s="8" t="s">
        <v>33</v>
      </c>
      <c r="H87" s="8" t="s">
        <v>39</v>
      </c>
      <c r="I87" s="10">
        <v>37.68</v>
      </c>
      <c r="J87" s="10">
        <v>137.91999999999999</v>
      </c>
      <c r="K87" s="10">
        <v>3660.3</v>
      </c>
      <c r="L87" s="8" t="s">
        <v>40</v>
      </c>
      <c r="M87" s="8" t="s">
        <v>22</v>
      </c>
      <c r="N87" s="10">
        <v>263.86</v>
      </c>
      <c r="O87" s="10">
        <v>299.35000000000002</v>
      </c>
      <c r="P87" s="8" t="s">
        <v>70</v>
      </c>
      <c r="Q87" s="10">
        <v>28.17</v>
      </c>
      <c r="R87" s="10">
        <f xml:space="preserve"> Table1_2[[#This Row],[Yield (Kg/Ha)]]/Table1_2[[#This Row],[Area (Hectares)]]</f>
        <v>97.141719745222929</v>
      </c>
      <c r="S87" s="10">
        <f>Table1_2[[#This Row],[Yield per Acre]]/Table1_2[[#This Row],[Yield (Kg/Ha)]]</f>
        <v>2.6539278131634817E-2</v>
      </c>
      <c r="T87" s="11">
        <f>Table1_2[[#This Row],[Yield per Acre]]/N87</f>
        <v>0.36815629403935013</v>
      </c>
    </row>
    <row r="88" spans="1:20" x14ac:dyDescent="0.3">
      <c r="A88" s="8" t="s">
        <v>152</v>
      </c>
      <c r="B88" s="9">
        <v>2013</v>
      </c>
      <c r="C88" s="9" t="str">
        <f t="shared" si="1"/>
        <v>1905-07</v>
      </c>
      <c r="D88" s="10">
        <v>2013</v>
      </c>
      <c r="E88" s="8" t="s">
        <v>36</v>
      </c>
      <c r="F88" s="8" t="s">
        <v>51</v>
      </c>
      <c r="G88" s="8" t="s">
        <v>33</v>
      </c>
      <c r="H88" s="8" t="s">
        <v>46</v>
      </c>
      <c r="I88" s="10">
        <v>10.08</v>
      </c>
      <c r="J88" s="10">
        <v>22.91</v>
      </c>
      <c r="K88" s="10">
        <v>2272.63</v>
      </c>
      <c r="L88" s="8" t="s">
        <v>21</v>
      </c>
      <c r="M88" s="8" t="s">
        <v>22</v>
      </c>
      <c r="N88" s="10">
        <v>62.64</v>
      </c>
      <c r="O88" s="10">
        <v>533.51</v>
      </c>
      <c r="P88" s="8" t="s">
        <v>42</v>
      </c>
      <c r="Q88" s="10">
        <v>31.8</v>
      </c>
      <c r="R88" s="10">
        <f xml:space="preserve"> Table1_2[[#This Row],[Yield (Kg/Ha)]]/Table1_2[[#This Row],[Area (Hectares)]]</f>
        <v>225.45932539682539</v>
      </c>
      <c r="S88" s="10">
        <f>Table1_2[[#This Row],[Yield per Acre]]/Table1_2[[#This Row],[Yield (Kg/Ha)]]</f>
        <v>9.9206349206349201E-2</v>
      </c>
      <c r="T88" s="11">
        <f>Table1_2[[#This Row],[Yield per Acre]]/N88</f>
        <v>3.5992868039084511</v>
      </c>
    </row>
    <row r="89" spans="1:20" x14ac:dyDescent="0.3">
      <c r="A89" s="8" t="s">
        <v>153</v>
      </c>
      <c r="B89" s="9">
        <v>2013</v>
      </c>
      <c r="C89" s="9" t="str">
        <f t="shared" si="1"/>
        <v>1905-07</v>
      </c>
      <c r="D89" s="10">
        <v>2013</v>
      </c>
      <c r="E89" s="8" t="s">
        <v>44</v>
      </c>
      <c r="F89" s="8" t="s">
        <v>67</v>
      </c>
      <c r="G89" s="8" t="s">
        <v>19</v>
      </c>
      <c r="H89" s="8" t="s">
        <v>56</v>
      </c>
      <c r="I89" s="10">
        <v>81.489999999999995</v>
      </c>
      <c r="J89" s="10">
        <v>195.41</v>
      </c>
      <c r="K89" s="10">
        <v>2397.9899999999998</v>
      </c>
      <c r="L89" s="8" t="s">
        <v>40</v>
      </c>
      <c r="M89" s="8" t="s">
        <v>41</v>
      </c>
      <c r="N89" s="10">
        <v>247.16</v>
      </c>
      <c r="O89" s="10">
        <v>795.98</v>
      </c>
      <c r="P89" s="8" t="s">
        <v>70</v>
      </c>
      <c r="Q89" s="10">
        <v>32.880000000000003</v>
      </c>
      <c r="R89" s="10">
        <f xml:space="preserve"> Table1_2[[#This Row],[Yield (Kg/Ha)]]/Table1_2[[#This Row],[Area (Hectares)]]</f>
        <v>29.426800834458216</v>
      </c>
      <c r="S89" s="10">
        <f>Table1_2[[#This Row],[Yield per Acre]]/Table1_2[[#This Row],[Yield (Kg/Ha)]]</f>
        <v>1.2271444348999879E-2</v>
      </c>
      <c r="T89" s="11">
        <f>Table1_2[[#This Row],[Yield per Acre]]/N89</f>
        <v>0.11905972177722211</v>
      </c>
    </row>
    <row r="90" spans="1:20" x14ac:dyDescent="0.3">
      <c r="A90" s="8" t="s">
        <v>154</v>
      </c>
      <c r="B90" s="9">
        <v>2022</v>
      </c>
      <c r="C90" s="9" t="str">
        <f t="shared" si="1"/>
        <v>1905-07</v>
      </c>
      <c r="D90" s="10">
        <v>2022</v>
      </c>
      <c r="E90" s="8" t="s">
        <v>59</v>
      </c>
      <c r="F90" s="8" t="s">
        <v>63</v>
      </c>
      <c r="G90" s="8" t="s">
        <v>33</v>
      </c>
      <c r="H90" s="8" t="s">
        <v>64</v>
      </c>
      <c r="I90" s="10">
        <v>66.44</v>
      </c>
      <c r="J90" s="10">
        <v>76.72</v>
      </c>
      <c r="K90" s="10">
        <v>1154.68</v>
      </c>
      <c r="L90" s="8" t="s">
        <v>21</v>
      </c>
      <c r="M90" s="8" t="s">
        <v>49</v>
      </c>
      <c r="N90" s="10">
        <v>139.56</v>
      </c>
      <c r="O90" s="10">
        <v>988.43</v>
      </c>
      <c r="P90" s="8" t="s">
        <v>61</v>
      </c>
      <c r="Q90" s="10">
        <v>24.86</v>
      </c>
      <c r="R90" s="10">
        <f xml:space="preserve"> Table1_2[[#This Row],[Yield (Kg/Ha)]]/Table1_2[[#This Row],[Area (Hectares)]]</f>
        <v>17.3792895845876</v>
      </c>
      <c r="S90" s="10">
        <f>Table1_2[[#This Row],[Yield per Acre]]/Table1_2[[#This Row],[Yield (Kg/Ha)]]</f>
        <v>1.5051173991571343E-2</v>
      </c>
      <c r="T90" s="11">
        <f>Table1_2[[#This Row],[Yield per Acre]]/N90</f>
        <v>0.1245291601073918</v>
      </c>
    </row>
    <row r="91" spans="1:20" x14ac:dyDescent="0.3">
      <c r="A91" s="8" t="s">
        <v>155</v>
      </c>
      <c r="B91" s="9">
        <v>2021</v>
      </c>
      <c r="C91" s="9" t="str">
        <f t="shared" si="1"/>
        <v>1905-07</v>
      </c>
      <c r="D91" s="10">
        <v>2021</v>
      </c>
      <c r="E91" s="8" t="s">
        <v>25</v>
      </c>
      <c r="F91" s="8" t="s">
        <v>26</v>
      </c>
      <c r="G91" s="8" t="s">
        <v>38</v>
      </c>
      <c r="H91" s="8" t="s">
        <v>27</v>
      </c>
      <c r="I91" s="10">
        <v>12.25</v>
      </c>
      <c r="J91" s="10">
        <v>16.920000000000002</v>
      </c>
      <c r="K91" s="10">
        <v>1381.35</v>
      </c>
      <c r="L91" s="8" t="s">
        <v>28</v>
      </c>
      <c r="M91" s="8" t="s">
        <v>47</v>
      </c>
      <c r="N91" s="10">
        <v>244.5</v>
      </c>
      <c r="O91" s="10">
        <v>713.24</v>
      </c>
      <c r="P91" s="8" t="s">
        <v>23</v>
      </c>
      <c r="Q91" s="10">
        <v>26.78</v>
      </c>
      <c r="R91" s="10">
        <f xml:space="preserve"> Table1_2[[#This Row],[Yield (Kg/Ha)]]/Table1_2[[#This Row],[Area (Hectares)]]</f>
        <v>112.76326530612243</v>
      </c>
      <c r="S91" s="10">
        <f>Table1_2[[#This Row],[Yield per Acre]]/Table1_2[[#This Row],[Yield (Kg/Ha)]]</f>
        <v>8.1632653061224483E-2</v>
      </c>
      <c r="T91" s="11">
        <f>Table1_2[[#This Row],[Yield per Acre]]/N91</f>
        <v>0.46119944910479521</v>
      </c>
    </row>
    <row r="92" spans="1:20" x14ac:dyDescent="0.3">
      <c r="A92" s="8" t="s">
        <v>156</v>
      </c>
      <c r="B92" s="9">
        <v>2022</v>
      </c>
      <c r="C92" s="9" t="str">
        <f t="shared" si="1"/>
        <v>1905-07</v>
      </c>
      <c r="D92" s="10">
        <v>2022</v>
      </c>
      <c r="E92" s="8" t="s">
        <v>25</v>
      </c>
      <c r="F92" s="8" t="s">
        <v>69</v>
      </c>
      <c r="G92" s="8" t="s">
        <v>19</v>
      </c>
      <c r="H92" s="8" t="s">
        <v>27</v>
      </c>
      <c r="I92" s="10">
        <v>30.86</v>
      </c>
      <c r="J92" s="10">
        <v>149.97999999999999</v>
      </c>
      <c r="K92" s="10">
        <v>4860.04</v>
      </c>
      <c r="L92" s="8" t="s">
        <v>21</v>
      </c>
      <c r="M92" s="8" t="s">
        <v>29</v>
      </c>
      <c r="N92" s="10">
        <v>65.209999999999994</v>
      </c>
      <c r="O92" s="10">
        <v>678.98</v>
      </c>
      <c r="P92" s="8" t="s">
        <v>52</v>
      </c>
      <c r="Q92" s="10">
        <v>26.39</v>
      </c>
      <c r="R92" s="10">
        <f xml:space="preserve"> Table1_2[[#This Row],[Yield (Kg/Ha)]]/Table1_2[[#This Row],[Area (Hectares)]]</f>
        <v>157.48671419313027</v>
      </c>
      <c r="S92" s="10">
        <f>Table1_2[[#This Row],[Yield per Acre]]/Table1_2[[#This Row],[Yield (Kg/Ha)]]</f>
        <v>3.240440699935191E-2</v>
      </c>
      <c r="T92" s="11">
        <f>Table1_2[[#This Row],[Yield per Acre]]/N92</f>
        <v>2.4150699922271168</v>
      </c>
    </row>
    <row r="93" spans="1:20" x14ac:dyDescent="0.3">
      <c r="A93" s="8" t="s">
        <v>157</v>
      </c>
      <c r="B93" s="9">
        <v>2011</v>
      </c>
      <c r="C93" s="9" t="str">
        <f t="shared" si="1"/>
        <v>1905-07</v>
      </c>
      <c r="D93" s="10">
        <v>2011</v>
      </c>
      <c r="E93" s="8" t="s">
        <v>17</v>
      </c>
      <c r="F93" s="8" t="s">
        <v>72</v>
      </c>
      <c r="G93" s="8" t="s">
        <v>33</v>
      </c>
      <c r="H93" s="8" t="s">
        <v>20</v>
      </c>
      <c r="I93" s="10">
        <v>61.22</v>
      </c>
      <c r="J93" s="10">
        <v>85.35</v>
      </c>
      <c r="K93" s="10">
        <v>1394.09</v>
      </c>
      <c r="L93" s="8" t="s">
        <v>34</v>
      </c>
      <c r="M93" s="8" t="s">
        <v>47</v>
      </c>
      <c r="N93" s="10">
        <v>206.08</v>
      </c>
      <c r="O93" s="10">
        <v>785.36</v>
      </c>
      <c r="P93" s="8" t="s">
        <v>70</v>
      </c>
      <c r="Q93" s="10">
        <v>25.71</v>
      </c>
      <c r="R93" s="10">
        <f xml:space="preserve"> Table1_2[[#This Row],[Yield (Kg/Ha)]]/Table1_2[[#This Row],[Area (Hectares)]]</f>
        <v>22.771806599150604</v>
      </c>
      <c r="S93" s="10">
        <f>Table1_2[[#This Row],[Yield per Acre]]/Table1_2[[#This Row],[Yield (Kg/Ha)]]</f>
        <v>1.6334531198954592E-2</v>
      </c>
      <c r="T93" s="11">
        <f>Table1_2[[#This Row],[Yield per Acre]]/N93</f>
        <v>0.11049983792289694</v>
      </c>
    </row>
    <row r="94" spans="1:20" x14ac:dyDescent="0.3">
      <c r="A94" s="8" t="s">
        <v>158</v>
      </c>
      <c r="B94" s="9">
        <v>2018</v>
      </c>
      <c r="C94" s="9" t="str">
        <f t="shared" si="1"/>
        <v>1905-07</v>
      </c>
      <c r="D94" s="10">
        <v>2018</v>
      </c>
      <c r="E94" s="8" t="s">
        <v>31</v>
      </c>
      <c r="F94" s="8" t="s">
        <v>32</v>
      </c>
      <c r="G94" s="8" t="s">
        <v>19</v>
      </c>
      <c r="H94" s="8" t="s">
        <v>46</v>
      </c>
      <c r="I94" s="10">
        <v>10.82</v>
      </c>
      <c r="J94" s="10">
        <v>56.38</v>
      </c>
      <c r="K94" s="10">
        <v>5210.68</v>
      </c>
      <c r="L94" s="8" t="s">
        <v>40</v>
      </c>
      <c r="M94" s="8" t="s">
        <v>29</v>
      </c>
      <c r="N94" s="10">
        <v>157.52000000000001</v>
      </c>
      <c r="O94" s="10">
        <v>1088.0899999999999</v>
      </c>
      <c r="P94" s="8" t="s">
        <v>52</v>
      </c>
      <c r="Q94" s="10">
        <v>25.08</v>
      </c>
      <c r="R94" s="10">
        <f xml:space="preserve"> Table1_2[[#This Row],[Yield (Kg/Ha)]]/Table1_2[[#This Row],[Area (Hectares)]]</f>
        <v>481.57855822550835</v>
      </c>
      <c r="S94" s="10">
        <f>Table1_2[[#This Row],[Yield per Acre]]/Table1_2[[#This Row],[Yield (Kg/Ha)]]</f>
        <v>9.2421441774491686E-2</v>
      </c>
      <c r="T94" s="11">
        <f>Table1_2[[#This Row],[Yield per Acre]]/N94</f>
        <v>3.0572534168709264</v>
      </c>
    </row>
    <row r="95" spans="1:20" x14ac:dyDescent="0.3">
      <c r="A95" s="8" t="s">
        <v>159</v>
      </c>
      <c r="B95" s="9">
        <v>2011</v>
      </c>
      <c r="C95" s="9" t="str">
        <f t="shared" si="1"/>
        <v>1905-07</v>
      </c>
      <c r="D95" s="10">
        <v>2011</v>
      </c>
      <c r="E95" s="8" t="s">
        <v>36</v>
      </c>
      <c r="F95" s="8" t="s">
        <v>77</v>
      </c>
      <c r="G95" s="8" t="s">
        <v>38</v>
      </c>
      <c r="H95" s="8" t="s">
        <v>46</v>
      </c>
      <c r="I95" s="10">
        <v>31.94</v>
      </c>
      <c r="J95" s="10">
        <v>80.790000000000006</v>
      </c>
      <c r="K95" s="10">
        <v>2529.34</v>
      </c>
      <c r="L95" s="8" t="s">
        <v>40</v>
      </c>
      <c r="M95" s="8" t="s">
        <v>29</v>
      </c>
      <c r="N95" s="10">
        <v>221.71</v>
      </c>
      <c r="O95" s="10">
        <v>674.27</v>
      </c>
      <c r="P95" s="8" t="s">
        <v>23</v>
      </c>
      <c r="Q95" s="10">
        <v>32.479999999999997</v>
      </c>
      <c r="R95" s="10">
        <f xml:space="preserve"> Table1_2[[#This Row],[Yield (Kg/Ha)]]/Table1_2[[#This Row],[Area (Hectares)]]</f>
        <v>79.190356919223547</v>
      </c>
      <c r="S95" s="10">
        <f>Table1_2[[#This Row],[Yield per Acre]]/Table1_2[[#This Row],[Yield (Kg/Ha)]]</f>
        <v>3.1308703819661866E-2</v>
      </c>
      <c r="T95" s="11">
        <f>Table1_2[[#This Row],[Yield per Acre]]/N95</f>
        <v>0.35717990581941972</v>
      </c>
    </row>
    <row r="96" spans="1:20" x14ac:dyDescent="0.3">
      <c r="A96" s="8" t="s">
        <v>160</v>
      </c>
      <c r="B96" s="9">
        <v>2021</v>
      </c>
      <c r="C96" s="9" t="str">
        <f t="shared" si="1"/>
        <v>1905-07</v>
      </c>
      <c r="D96" s="10">
        <v>2021</v>
      </c>
      <c r="E96" s="8" t="s">
        <v>25</v>
      </c>
      <c r="F96" s="8" t="s">
        <v>69</v>
      </c>
      <c r="G96" s="8" t="s">
        <v>38</v>
      </c>
      <c r="H96" s="8" t="s">
        <v>56</v>
      </c>
      <c r="I96" s="10">
        <v>56.08</v>
      </c>
      <c r="J96" s="10">
        <v>253.41</v>
      </c>
      <c r="K96" s="10">
        <v>4518.79</v>
      </c>
      <c r="L96" s="8" t="s">
        <v>34</v>
      </c>
      <c r="M96" s="8" t="s">
        <v>49</v>
      </c>
      <c r="N96" s="10">
        <v>217.5</v>
      </c>
      <c r="O96" s="10">
        <v>610.80999999999995</v>
      </c>
      <c r="P96" s="8" t="s">
        <v>52</v>
      </c>
      <c r="Q96" s="10">
        <v>33.020000000000003</v>
      </c>
      <c r="R96" s="10">
        <f xml:space="preserve"> Table1_2[[#This Row],[Yield (Kg/Ha)]]/Table1_2[[#This Row],[Area (Hectares)]]</f>
        <v>80.577567760342376</v>
      </c>
      <c r="S96" s="10">
        <f>Table1_2[[#This Row],[Yield per Acre]]/Table1_2[[#This Row],[Yield (Kg/Ha)]]</f>
        <v>1.783166904422254E-2</v>
      </c>
      <c r="T96" s="11">
        <f>Table1_2[[#This Row],[Yield per Acre]]/N96</f>
        <v>0.3704715759096201</v>
      </c>
    </row>
    <row r="97" spans="1:20" x14ac:dyDescent="0.3">
      <c r="A97" s="8" t="s">
        <v>161</v>
      </c>
      <c r="B97" s="9">
        <v>2015</v>
      </c>
      <c r="C97" s="9" t="str">
        <f t="shared" si="1"/>
        <v>1905-07</v>
      </c>
      <c r="D97" s="10">
        <v>2015</v>
      </c>
      <c r="E97" s="8" t="s">
        <v>59</v>
      </c>
      <c r="F97" s="8" t="s">
        <v>63</v>
      </c>
      <c r="G97" s="8" t="s">
        <v>33</v>
      </c>
      <c r="H97" s="8" t="s">
        <v>27</v>
      </c>
      <c r="I97" s="10">
        <v>51.23</v>
      </c>
      <c r="J97" s="10">
        <v>98.79</v>
      </c>
      <c r="K97" s="10">
        <v>1928.38</v>
      </c>
      <c r="L97" s="8" t="s">
        <v>28</v>
      </c>
      <c r="M97" s="8" t="s">
        <v>47</v>
      </c>
      <c r="N97" s="10">
        <v>106.06</v>
      </c>
      <c r="O97" s="10">
        <v>308.22000000000003</v>
      </c>
      <c r="P97" s="8" t="s">
        <v>61</v>
      </c>
      <c r="Q97" s="10">
        <v>25.51</v>
      </c>
      <c r="R97" s="10">
        <f xml:space="preserve"> Table1_2[[#This Row],[Yield (Kg/Ha)]]/Table1_2[[#This Row],[Area (Hectares)]]</f>
        <v>37.641616240484097</v>
      </c>
      <c r="S97" s="10">
        <f>Table1_2[[#This Row],[Yield per Acre]]/Table1_2[[#This Row],[Yield (Kg/Ha)]]</f>
        <v>1.9519812609798948E-2</v>
      </c>
      <c r="T97" s="11">
        <f>Table1_2[[#This Row],[Yield per Acre]]/N97</f>
        <v>0.35490869545996695</v>
      </c>
    </row>
    <row r="98" spans="1:20" x14ac:dyDescent="0.3">
      <c r="A98" s="8" t="s">
        <v>162</v>
      </c>
      <c r="B98" s="9">
        <v>2018</v>
      </c>
      <c r="C98" s="9" t="str">
        <f t="shared" si="1"/>
        <v>1905-07</v>
      </c>
      <c r="D98" s="10">
        <v>2018</v>
      </c>
      <c r="E98" s="8" t="s">
        <v>103</v>
      </c>
      <c r="F98" s="8" t="s">
        <v>107</v>
      </c>
      <c r="G98" s="8" t="s">
        <v>19</v>
      </c>
      <c r="H98" s="8" t="s">
        <v>27</v>
      </c>
      <c r="I98" s="10">
        <v>67.819999999999993</v>
      </c>
      <c r="J98" s="10">
        <v>294.37</v>
      </c>
      <c r="K98" s="10">
        <v>4340.4399999999996</v>
      </c>
      <c r="L98" s="8" t="s">
        <v>34</v>
      </c>
      <c r="M98" s="8" t="s">
        <v>22</v>
      </c>
      <c r="N98" s="10">
        <v>57.24</v>
      </c>
      <c r="O98" s="10">
        <v>473.27</v>
      </c>
      <c r="P98" s="8" t="s">
        <v>70</v>
      </c>
      <c r="Q98" s="10">
        <v>33.82</v>
      </c>
      <c r="R98" s="10">
        <f xml:space="preserve"> Table1_2[[#This Row],[Yield (Kg/Ha)]]/Table1_2[[#This Row],[Area (Hectares)]]</f>
        <v>63.999410203479798</v>
      </c>
      <c r="S98" s="10">
        <f>Table1_2[[#This Row],[Yield per Acre]]/Table1_2[[#This Row],[Yield (Kg/Ha)]]</f>
        <v>1.4744913005013271E-2</v>
      </c>
      <c r="T98" s="11">
        <f>Table1_2[[#This Row],[Yield per Acre]]/N98</f>
        <v>1.1180889273843431</v>
      </c>
    </row>
    <row r="99" spans="1:20" x14ac:dyDescent="0.3">
      <c r="A99" s="8" t="s">
        <v>163</v>
      </c>
      <c r="B99" s="9">
        <v>2019</v>
      </c>
      <c r="C99" s="9" t="str">
        <f t="shared" si="1"/>
        <v>1905-07</v>
      </c>
      <c r="D99" s="10">
        <v>2019</v>
      </c>
      <c r="E99" s="8" t="s">
        <v>103</v>
      </c>
      <c r="F99" s="8" t="s">
        <v>104</v>
      </c>
      <c r="G99" s="8" t="s">
        <v>19</v>
      </c>
      <c r="H99" s="8" t="s">
        <v>46</v>
      </c>
      <c r="I99" s="10">
        <v>7.89</v>
      </c>
      <c r="J99" s="10">
        <v>42.97</v>
      </c>
      <c r="K99" s="10">
        <v>5445.81</v>
      </c>
      <c r="L99" s="8" t="s">
        <v>21</v>
      </c>
      <c r="M99" s="8" t="s">
        <v>41</v>
      </c>
      <c r="N99" s="10">
        <v>72.94</v>
      </c>
      <c r="O99" s="10">
        <v>730.48</v>
      </c>
      <c r="P99" s="8" t="s">
        <v>52</v>
      </c>
      <c r="Q99" s="10">
        <v>26.3</v>
      </c>
      <c r="R99" s="10">
        <f xml:space="preserve"> Table1_2[[#This Row],[Yield (Kg/Ha)]]/Table1_2[[#This Row],[Area (Hectares)]]</f>
        <v>690.21673003802289</v>
      </c>
      <c r="S99" s="10">
        <f>Table1_2[[#This Row],[Yield per Acre]]/Table1_2[[#This Row],[Yield (Kg/Ha)]]</f>
        <v>0.1267427122940431</v>
      </c>
      <c r="T99" s="11">
        <f>Table1_2[[#This Row],[Yield per Acre]]/N99</f>
        <v>9.4628013440913481</v>
      </c>
    </row>
    <row r="100" spans="1:20" x14ac:dyDescent="0.3">
      <c r="A100" s="8" t="s">
        <v>164</v>
      </c>
      <c r="B100" s="9">
        <v>2022</v>
      </c>
      <c r="C100" s="9" t="str">
        <f t="shared" si="1"/>
        <v>1905-07</v>
      </c>
      <c r="D100" s="10">
        <v>2021</v>
      </c>
      <c r="E100" s="8" t="s">
        <v>31</v>
      </c>
      <c r="F100" s="8" t="s">
        <v>32</v>
      </c>
      <c r="G100" s="8" t="s">
        <v>38</v>
      </c>
      <c r="H100" s="8" t="s">
        <v>27</v>
      </c>
      <c r="I100" s="10">
        <v>60.03</v>
      </c>
      <c r="J100" s="10">
        <v>378.19</v>
      </c>
      <c r="K100" s="10">
        <v>6300.05</v>
      </c>
      <c r="L100" s="8" t="s">
        <v>40</v>
      </c>
      <c r="M100" s="8" t="s">
        <v>29</v>
      </c>
      <c r="N100" s="10">
        <v>89.35</v>
      </c>
      <c r="O100" s="10">
        <v>817.84</v>
      </c>
      <c r="P100" s="8" t="s">
        <v>23</v>
      </c>
      <c r="Q100" s="10">
        <v>24.08</v>
      </c>
      <c r="R100" s="10">
        <f xml:space="preserve"> Table1_2[[#This Row],[Yield (Kg/Ha)]]/Table1_2[[#This Row],[Area (Hectares)]]</f>
        <v>104.94835915375646</v>
      </c>
      <c r="S100" s="10">
        <f>Table1_2[[#This Row],[Yield per Acre]]/Table1_2[[#This Row],[Yield (Kg/Ha)]]</f>
        <v>1.6658337497917706E-2</v>
      </c>
      <c r="T100" s="11">
        <f>Table1_2[[#This Row],[Yield per Acre]]/N100</f>
        <v>1.1745759278540175</v>
      </c>
    </row>
    <row r="101" spans="1:20" x14ac:dyDescent="0.3">
      <c r="A101" s="8" t="s">
        <v>165</v>
      </c>
      <c r="B101" s="9">
        <v>2017</v>
      </c>
      <c r="C101" s="9" t="str">
        <f t="shared" si="1"/>
        <v>1905-07</v>
      </c>
      <c r="D101" s="10">
        <v>2016</v>
      </c>
      <c r="E101" s="8" t="s">
        <v>59</v>
      </c>
      <c r="F101" s="8" t="s">
        <v>63</v>
      </c>
      <c r="G101" s="8" t="s">
        <v>38</v>
      </c>
      <c r="H101" s="8" t="s">
        <v>56</v>
      </c>
      <c r="I101" s="10">
        <v>75.739999999999995</v>
      </c>
      <c r="J101" s="10">
        <v>127.46</v>
      </c>
      <c r="K101" s="10">
        <v>1682.91</v>
      </c>
      <c r="L101" s="8" t="s">
        <v>28</v>
      </c>
      <c r="M101" s="8" t="s">
        <v>22</v>
      </c>
      <c r="N101" s="10">
        <v>77.72</v>
      </c>
      <c r="O101" s="10">
        <v>878.22</v>
      </c>
      <c r="P101" s="8" t="s">
        <v>61</v>
      </c>
      <c r="Q101" s="10">
        <v>27.3</v>
      </c>
      <c r="R101" s="10">
        <f xml:space="preserve"> Table1_2[[#This Row],[Yield (Kg/Ha)]]/Table1_2[[#This Row],[Area (Hectares)]]</f>
        <v>22.219566939529972</v>
      </c>
      <c r="S101" s="10">
        <f>Table1_2[[#This Row],[Yield per Acre]]/Table1_2[[#This Row],[Yield (Kg/Ha)]]</f>
        <v>1.3203063110641669E-2</v>
      </c>
      <c r="T101" s="11">
        <f>Table1_2[[#This Row],[Yield per Acre]]/N101</f>
        <v>0.28589252366868212</v>
      </c>
    </row>
    <row r="102" spans="1:20" x14ac:dyDescent="0.3">
      <c r="A102" s="8" t="s">
        <v>166</v>
      </c>
      <c r="B102" s="9">
        <v>2019</v>
      </c>
      <c r="C102" s="9" t="str">
        <f t="shared" si="1"/>
        <v>1905-07</v>
      </c>
      <c r="D102" s="10">
        <v>2019</v>
      </c>
      <c r="E102" s="8" t="s">
        <v>103</v>
      </c>
      <c r="F102" s="8" t="s">
        <v>107</v>
      </c>
      <c r="G102" s="8" t="s">
        <v>33</v>
      </c>
      <c r="H102" s="8" t="s">
        <v>64</v>
      </c>
      <c r="I102" s="10">
        <v>21.24</v>
      </c>
      <c r="J102" s="10">
        <v>141.71</v>
      </c>
      <c r="K102" s="10">
        <v>6671.94</v>
      </c>
      <c r="L102" s="8" t="s">
        <v>40</v>
      </c>
      <c r="M102" s="8" t="s">
        <v>41</v>
      </c>
      <c r="N102" s="10">
        <v>241.04</v>
      </c>
      <c r="O102" s="10">
        <v>489.45</v>
      </c>
      <c r="P102" s="8" t="s">
        <v>23</v>
      </c>
      <c r="Q102" s="10">
        <v>20.12</v>
      </c>
      <c r="R102" s="10">
        <f xml:space="preserve"> Table1_2[[#This Row],[Yield (Kg/Ha)]]/Table1_2[[#This Row],[Area (Hectares)]]</f>
        <v>314.12146892655369</v>
      </c>
      <c r="S102" s="10">
        <f>Table1_2[[#This Row],[Yield per Acre]]/Table1_2[[#This Row],[Yield (Kg/Ha)]]</f>
        <v>4.708097928436912E-2</v>
      </c>
      <c r="T102" s="11">
        <f>Table1_2[[#This Row],[Yield per Acre]]/N102</f>
        <v>1.3031922872824167</v>
      </c>
    </row>
    <row r="103" spans="1:20" x14ac:dyDescent="0.3">
      <c r="A103" s="8" t="s">
        <v>167</v>
      </c>
      <c r="B103" s="9">
        <v>2018</v>
      </c>
      <c r="C103" s="9" t="str">
        <f t="shared" si="1"/>
        <v>1905-07</v>
      </c>
      <c r="D103" s="10">
        <v>2018</v>
      </c>
      <c r="E103" s="8" t="s">
        <v>103</v>
      </c>
      <c r="F103" s="8" t="s">
        <v>107</v>
      </c>
      <c r="G103" s="8" t="s">
        <v>19</v>
      </c>
      <c r="H103" s="8" t="s">
        <v>56</v>
      </c>
      <c r="I103" s="10">
        <v>50.53</v>
      </c>
      <c r="J103" s="10">
        <v>303.19</v>
      </c>
      <c r="K103" s="10">
        <v>6000.13</v>
      </c>
      <c r="L103" s="8" t="s">
        <v>34</v>
      </c>
      <c r="M103" s="8" t="s">
        <v>22</v>
      </c>
      <c r="N103" s="10">
        <v>68.02</v>
      </c>
      <c r="O103" s="10">
        <v>1061.76</v>
      </c>
      <c r="P103" s="8" t="s">
        <v>23</v>
      </c>
      <c r="Q103" s="10">
        <v>26.54</v>
      </c>
      <c r="R103" s="10">
        <f xml:space="preserve"> Table1_2[[#This Row],[Yield (Kg/Ha)]]/Table1_2[[#This Row],[Area (Hectares)]]</f>
        <v>118.74391450623392</v>
      </c>
      <c r="S103" s="10">
        <f>Table1_2[[#This Row],[Yield per Acre]]/Table1_2[[#This Row],[Yield (Kg/Ha)]]</f>
        <v>1.9790223629527013E-2</v>
      </c>
      <c r="T103" s="11">
        <f>Table1_2[[#This Row],[Yield per Acre]]/N103</f>
        <v>1.7457205896241388</v>
      </c>
    </row>
    <row r="104" spans="1:20" x14ac:dyDescent="0.3">
      <c r="A104" s="8" t="s">
        <v>168</v>
      </c>
      <c r="B104" s="9">
        <v>2020</v>
      </c>
      <c r="C104" s="9" t="str">
        <f t="shared" si="1"/>
        <v>1905-07</v>
      </c>
      <c r="D104" s="10">
        <v>2019</v>
      </c>
      <c r="E104" s="8" t="s">
        <v>44</v>
      </c>
      <c r="F104" s="8" t="s">
        <v>99</v>
      </c>
      <c r="G104" s="8" t="s">
        <v>38</v>
      </c>
      <c r="H104" s="8" t="s">
        <v>27</v>
      </c>
      <c r="I104" s="10">
        <v>41.04</v>
      </c>
      <c r="J104" s="10">
        <v>198.67</v>
      </c>
      <c r="K104" s="10">
        <v>4840.8500000000004</v>
      </c>
      <c r="L104" s="8" t="s">
        <v>34</v>
      </c>
      <c r="M104" s="8" t="s">
        <v>49</v>
      </c>
      <c r="N104" s="10">
        <v>78.790000000000006</v>
      </c>
      <c r="O104" s="10">
        <v>220.86</v>
      </c>
      <c r="P104" s="8" t="s">
        <v>70</v>
      </c>
      <c r="Q104" s="10">
        <v>22.58</v>
      </c>
      <c r="R104" s="10">
        <f xml:space="preserve"> Table1_2[[#This Row],[Yield (Kg/Ha)]]/Table1_2[[#This Row],[Area (Hectares)]]</f>
        <v>117.95443469785576</v>
      </c>
      <c r="S104" s="10">
        <f>Table1_2[[#This Row],[Yield per Acre]]/Table1_2[[#This Row],[Yield (Kg/Ha)]]</f>
        <v>2.4366471734892786E-2</v>
      </c>
      <c r="T104" s="11">
        <f>Table1_2[[#This Row],[Yield per Acre]]/N104</f>
        <v>1.4970736730277414</v>
      </c>
    </row>
    <row r="105" spans="1:20" x14ac:dyDescent="0.3">
      <c r="A105" s="8" t="s">
        <v>169</v>
      </c>
      <c r="B105" s="9">
        <v>2011</v>
      </c>
      <c r="C105" s="9" t="str">
        <f t="shared" si="1"/>
        <v>1905-07</v>
      </c>
      <c r="D105" s="10">
        <v>2011</v>
      </c>
      <c r="E105" s="8" t="s">
        <v>25</v>
      </c>
      <c r="F105" s="8" t="s">
        <v>87</v>
      </c>
      <c r="G105" s="8" t="s">
        <v>33</v>
      </c>
      <c r="H105" s="8" t="s">
        <v>46</v>
      </c>
      <c r="I105" s="10">
        <v>59.3</v>
      </c>
      <c r="J105" s="10">
        <v>245.73</v>
      </c>
      <c r="K105" s="10">
        <v>4143.78</v>
      </c>
      <c r="L105" s="8" t="s">
        <v>28</v>
      </c>
      <c r="M105" s="8" t="s">
        <v>22</v>
      </c>
      <c r="N105" s="10">
        <v>267.63</v>
      </c>
      <c r="O105" s="10">
        <v>945.8</v>
      </c>
      <c r="P105" s="8" t="s">
        <v>42</v>
      </c>
      <c r="Q105" s="10">
        <v>25</v>
      </c>
      <c r="R105" s="10">
        <f xml:space="preserve"> Table1_2[[#This Row],[Yield (Kg/Ha)]]/Table1_2[[#This Row],[Area (Hectares)]]</f>
        <v>69.878246205733561</v>
      </c>
      <c r="S105" s="10">
        <f>Table1_2[[#This Row],[Yield per Acre]]/Table1_2[[#This Row],[Yield (Kg/Ha)]]</f>
        <v>1.6863406408094438E-2</v>
      </c>
      <c r="T105" s="11">
        <f>Table1_2[[#This Row],[Yield per Acre]]/N105</f>
        <v>0.26110019880332386</v>
      </c>
    </row>
    <row r="106" spans="1:20" x14ac:dyDescent="0.3">
      <c r="A106" s="8" t="s">
        <v>170</v>
      </c>
      <c r="B106" s="9">
        <v>2011</v>
      </c>
      <c r="C106" s="9" t="str">
        <f t="shared" si="1"/>
        <v>1905-07</v>
      </c>
      <c r="D106" s="10">
        <v>2011</v>
      </c>
      <c r="E106" s="8" t="s">
        <v>59</v>
      </c>
      <c r="F106" s="8" t="s">
        <v>93</v>
      </c>
      <c r="G106" s="8" t="s">
        <v>19</v>
      </c>
      <c r="H106" s="8" t="s">
        <v>27</v>
      </c>
      <c r="I106" s="10">
        <v>20.2</v>
      </c>
      <c r="J106" s="10">
        <v>114.28</v>
      </c>
      <c r="K106" s="10">
        <v>5657.37</v>
      </c>
      <c r="L106" s="8" t="s">
        <v>34</v>
      </c>
      <c r="M106" s="8" t="s">
        <v>49</v>
      </c>
      <c r="N106" s="10">
        <v>231.84</v>
      </c>
      <c r="O106" s="10">
        <v>1018.95</v>
      </c>
      <c r="P106" s="8" t="s">
        <v>42</v>
      </c>
      <c r="Q106" s="10">
        <v>23.54</v>
      </c>
      <c r="R106" s="10">
        <f xml:space="preserve"> Table1_2[[#This Row],[Yield (Kg/Ha)]]/Table1_2[[#This Row],[Area (Hectares)]]</f>
        <v>280.06782178217821</v>
      </c>
      <c r="S106" s="10">
        <f>Table1_2[[#This Row],[Yield per Acre]]/Table1_2[[#This Row],[Yield (Kg/Ha)]]</f>
        <v>4.9504950495049507E-2</v>
      </c>
      <c r="T106" s="11">
        <f>Table1_2[[#This Row],[Yield per Acre]]/N106</f>
        <v>1.2080220056167108</v>
      </c>
    </row>
    <row r="107" spans="1:20" x14ac:dyDescent="0.3">
      <c r="A107" s="8" t="s">
        <v>171</v>
      </c>
      <c r="B107" s="9">
        <v>2019</v>
      </c>
      <c r="C107" s="9" t="str">
        <f t="shared" si="1"/>
        <v>1905-07</v>
      </c>
      <c r="D107" s="10">
        <v>2019</v>
      </c>
      <c r="E107" s="8" t="s">
        <v>103</v>
      </c>
      <c r="F107" s="8" t="s">
        <v>104</v>
      </c>
      <c r="G107" s="8" t="s">
        <v>33</v>
      </c>
      <c r="H107" s="8" t="s">
        <v>39</v>
      </c>
      <c r="I107" s="10">
        <v>8.4600000000000009</v>
      </c>
      <c r="J107" s="10">
        <v>56.75</v>
      </c>
      <c r="K107" s="10">
        <v>6707.75</v>
      </c>
      <c r="L107" s="8" t="s">
        <v>28</v>
      </c>
      <c r="M107" s="8" t="s">
        <v>47</v>
      </c>
      <c r="N107" s="10">
        <v>165.99</v>
      </c>
      <c r="O107" s="10">
        <v>763.74</v>
      </c>
      <c r="P107" s="8" t="s">
        <v>61</v>
      </c>
      <c r="Q107" s="10">
        <v>26.73</v>
      </c>
      <c r="R107" s="10">
        <f xml:space="preserve"> Table1_2[[#This Row],[Yield (Kg/Ha)]]/Table1_2[[#This Row],[Area (Hectares)]]</f>
        <v>792.87825059101647</v>
      </c>
      <c r="S107" s="10">
        <f>Table1_2[[#This Row],[Yield per Acre]]/Table1_2[[#This Row],[Yield (Kg/Ha)]]</f>
        <v>0.11820330969267138</v>
      </c>
      <c r="T107" s="11">
        <f>Table1_2[[#This Row],[Yield per Acre]]/N107</f>
        <v>4.7766627543286733</v>
      </c>
    </row>
    <row r="108" spans="1:20" x14ac:dyDescent="0.3">
      <c r="A108" s="8" t="s">
        <v>172</v>
      </c>
      <c r="B108" s="9">
        <v>2015</v>
      </c>
      <c r="C108" s="9" t="str">
        <f t="shared" si="1"/>
        <v>1905-07</v>
      </c>
      <c r="D108" s="10">
        <v>2015</v>
      </c>
      <c r="E108" s="8" t="s">
        <v>31</v>
      </c>
      <c r="F108" s="8" t="s">
        <v>117</v>
      </c>
      <c r="G108" s="8" t="s">
        <v>33</v>
      </c>
      <c r="H108" s="8" t="s">
        <v>46</v>
      </c>
      <c r="I108" s="10">
        <v>7.76</v>
      </c>
      <c r="J108" s="10">
        <v>28.35</v>
      </c>
      <c r="K108" s="10">
        <v>3653.25</v>
      </c>
      <c r="L108" s="8" t="s">
        <v>34</v>
      </c>
      <c r="M108" s="8" t="s">
        <v>29</v>
      </c>
      <c r="N108" s="10">
        <v>249.08</v>
      </c>
      <c r="O108" s="10">
        <v>791.42</v>
      </c>
      <c r="P108" s="8" t="s">
        <v>70</v>
      </c>
      <c r="Q108" s="10">
        <v>27.61</v>
      </c>
      <c r="R108" s="10">
        <f xml:space="preserve"> Table1_2[[#This Row],[Yield (Kg/Ha)]]/Table1_2[[#This Row],[Area (Hectares)]]</f>
        <v>470.77963917525773</v>
      </c>
      <c r="S108" s="10">
        <f>Table1_2[[#This Row],[Yield per Acre]]/Table1_2[[#This Row],[Yield (Kg/Ha)]]</f>
        <v>0.12886597938144329</v>
      </c>
      <c r="T108" s="11">
        <f>Table1_2[[#This Row],[Yield per Acre]]/N108</f>
        <v>1.8900740291282228</v>
      </c>
    </row>
    <row r="109" spans="1:20" x14ac:dyDescent="0.3">
      <c r="A109" s="8" t="s">
        <v>173</v>
      </c>
      <c r="B109" s="9">
        <v>2010</v>
      </c>
      <c r="C109" s="9" t="str">
        <f t="shared" si="1"/>
        <v>1905-07</v>
      </c>
      <c r="D109" s="10">
        <v>2010</v>
      </c>
      <c r="E109" s="8" t="s">
        <v>36</v>
      </c>
      <c r="F109" s="8" t="s">
        <v>37</v>
      </c>
      <c r="G109" s="8" t="s">
        <v>38</v>
      </c>
      <c r="H109" s="8" t="s">
        <v>20</v>
      </c>
      <c r="I109" s="10">
        <v>8.6</v>
      </c>
      <c r="J109" s="10">
        <v>53.2</v>
      </c>
      <c r="K109" s="10">
        <v>6185.5</v>
      </c>
      <c r="L109" s="8" t="s">
        <v>21</v>
      </c>
      <c r="M109" s="8" t="s">
        <v>29</v>
      </c>
      <c r="N109" s="10">
        <v>203.75</v>
      </c>
      <c r="O109" s="10">
        <v>707.07</v>
      </c>
      <c r="P109" s="8" t="s">
        <v>52</v>
      </c>
      <c r="Q109" s="10">
        <v>28.7</v>
      </c>
      <c r="R109" s="10">
        <f xml:space="preserve"> Table1_2[[#This Row],[Yield (Kg/Ha)]]/Table1_2[[#This Row],[Area (Hectares)]]</f>
        <v>719.24418604651169</v>
      </c>
      <c r="S109" s="10">
        <f>Table1_2[[#This Row],[Yield per Acre]]/Table1_2[[#This Row],[Yield (Kg/Ha)]]</f>
        <v>0.11627906976744187</v>
      </c>
      <c r="T109" s="11">
        <f>Table1_2[[#This Row],[Yield per Acre]]/N109</f>
        <v>3.5300328149522047</v>
      </c>
    </row>
    <row r="110" spans="1:20" x14ac:dyDescent="0.3">
      <c r="A110" s="8" t="s">
        <v>174</v>
      </c>
      <c r="B110" s="9">
        <v>2020</v>
      </c>
      <c r="C110" s="9" t="str">
        <f t="shared" si="1"/>
        <v>1905-07</v>
      </c>
      <c r="D110" s="10">
        <v>2020</v>
      </c>
      <c r="E110" s="8" t="s">
        <v>44</v>
      </c>
      <c r="F110" s="8" t="s">
        <v>67</v>
      </c>
      <c r="G110" s="8" t="s">
        <v>33</v>
      </c>
      <c r="H110" s="8" t="s">
        <v>20</v>
      </c>
      <c r="I110" s="10">
        <v>60.9</v>
      </c>
      <c r="J110" s="10">
        <v>244.1</v>
      </c>
      <c r="K110" s="10">
        <v>4008.2</v>
      </c>
      <c r="L110" s="8" t="s">
        <v>21</v>
      </c>
      <c r="M110" s="8" t="s">
        <v>47</v>
      </c>
      <c r="N110" s="10">
        <v>162.63</v>
      </c>
      <c r="O110" s="10">
        <v>1010.97</v>
      </c>
      <c r="P110" s="8" t="s">
        <v>70</v>
      </c>
      <c r="Q110" s="10">
        <v>34.74</v>
      </c>
      <c r="R110" s="10">
        <f xml:space="preserve"> Table1_2[[#This Row],[Yield (Kg/Ha)]]/Table1_2[[#This Row],[Area (Hectares)]]</f>
        <v>65.816091954022994</v>
      </c>
      <c r="S110" s="10">
        <f>Table1_2[[#This Row],[Yield per Acre]]/Table1_2[[#This Row],[Yield (Kg/Ha)]]</f>
        <v>1.6420361247947456E-2</v>
      </c>
      <c r="T110" s="11">
        <f>Table1_2[[#This Row],[Yield per Acre]]/N110</f>
        <v>0.40469834565592444</v>
      </c>
    </row>
    <row r="111" spans="1:20" x14ac:dyDescent="0.3">
      <c r="A111" s="8" t="s">
        <v>175</v>
      </c>
      <c r="B111" s="9">
        <v>2010</v>
      </c>
      <c r="C111" s="9" t="str">
        <f t="shared" si="1"/>
        <v>1905-07</v>
      </c>
      <c r="D111" s="10">
        <v>2010</v>
      </c>
      <c r="E111" s="8" t="s">
        <v>17</v>
      </c>
      <c r="F111" s="8" t="s">
        <v>18</v>
      </c>
      <c r="G111" s="8" t="s">
        <v>33</v>
      </c>
      <c r="H111" s="8" t="s">
        <v>39</v>
      </c>
      <c r="I111" s="10">
        <v>44.34</v>
      </c>
      <c r="J111" s="10">
        <v>161.24</v>
      </c>
      <c r="K111" s="10">
        <v>3636.53</v>
      </c>
      <c r="L111" s="8" t="s">
        <v>40</v>
      </c>
      <c r="M111" s="8" t="s">
        <v>47</v>
      </c>
      <c r="N111" s="10">
        <v>140.97</v>
      </c>
      <c r="O111" s="10">
        <v>1117.94</v>
      </c>
      <c r="P111" s="8" t="s">
        <v>52</v>
      </c>
      <c r="Q111" s="10">
        <v>26.13</v>
      </c>
      <c r="R111" s="10">
        <f xml:space="preserve"> Table1_2[[#This Row],[Yield (Kg/Ha)]]/Table1_2[[#This Row],[Area (Hectares)]]</f>
        <v>82.014659449706812</v>
      </c>
      <c r="S111" s="10">
        <f>Table1_2[[#This Row],[Yield per Acre]]/Table1_2[[#This Row],[Yield (Kg/Ha)]]</f>
        <v>2.2552999548940009E-2</v>
      </c>
      <c r="T111" s="11">
        <f>Table1_2[[#This Row],[Yield per Acre]]/N111</f>
        <v>0.58178803610489338</v>
      </c>
    </row>
    <row r="112" spans="1:20" x14ac:dyDescent="0.3">
      <c r="A112" s="8" t="s">
        <v>176</v>
      </c>
      <c r="B112" s="9">
        <v>2021</v>
      </c>
      <c r="C112" s="9" t="str">
        <f t="shared" si="1"/>
        <v>1905-07</v>
      </c>
      <c r="D112" s="10">
        <v>2020</v>
      </c>
      <c r="E112" s="8" t="s">
        <v>25</v>
      </c>
      <c r="F112" s="8" t="s">
        <v>69</v>
      </c>
      <c r="G112" s="8" t="s">
        <v>38</v>
      </c>
      <c r="H112" s="8" t="s">
        <v>64</v>
      </c>
      <c r="I112" s="10">
        <v>33.64</v>
      </c>
      <c r="J112" s="10">
        <v>146.26</v>
      </c>
      <c r="K112" s="10">
        <v>4347.78</v>
      </c>
      <c r="L112" s="8" t="s">
        <v>28</v>
      </c>
      <c r="M112" s="8" t="s">
        <v>22</v>
      </c>
      <c r="N112" s="10">
        <v>121.04</v>
      </c>
      <c r="O112" s="10">
        <v>923.73</v>
      </c>
      <c r="P112" s="8" t="s">
        <v>61</v>
      </c>
      <c r="Q112" s="10">
        <v>33.1</v>
      </c>
      <c r="R112" s="10">
        <f xml:space="preserve"> Table1_2[[#This Row],[Yield (Kg/Ha)]]/Table1_2[[#This Row],[Area (Hectares)]]</f>
        <v>129.24435196195006</v>
      </c>
      <c r="S112" s="10">
        <f>Table1_2[[#This Row],[Yield per Acre]]/Table1_2[[#This Row],[Yield (Kg/Ha)]]</f>
        <v>2.9726516052318668E-2</v>
      </c>
      <c r="T112" s="11">
        <f>Table1_2[[#This Row],[Yield per Acre]]/N112</f>
        <v>1.0677821543452581</v>
      </c>
    </row>
    <row r="113" spans="1:20" x14ac:dyDescent="0.3">
      <c r="A113" s="8" t="s">
        <v>177</v>
      </c>
      <c r="B113" s="9">
        <v>2013</v>
      </c>
      <c r="C113" s="9" t="str">
        <f t="shared" si="1"/>
        <v>1905-07</v>
      </c>
      <c r="D113" s="10">
        <v>2012</v>
      </c>
      <c r="E113" s="8" t="s">
        <v>59</v>
      </c>
      <c r="F113" s="8" t="s">
        <v>93</v>
      </c>
      <c r="G113" s="8" t="s">
        <v>38</v>
      </c>
      <c r="H113" s="8" t="s">
        <v>20</v>
      </c>
      <c r="I113" s="10">
        <v>96.8</v>
      </c>
      <c r="J113" s="10">
        <v>502.48</v>
      </c>
      <c r="K113" s="10">
        <v>5190.88</v>
      </c>
      <c r="L113" s="8" t="s">
        <v>28</v>
      </c>
      <c r="M113" s="8" t="s">
        <v>49</v>
      </c>
      <c r="N113" s="10">
        <v>82.24</v>
      </c>
      <c r="O113" s="10">
        <v>908.83</v>
      </c>
      <c r="P113" s="8" t="s">
        <v>23</v>
      </c>
      <c r="Q113" s="10">
        <v>24.64</v>
      </c>
      <c r="R113" s="10">
        <f xml:space="preserve"> Table1_2[[#This Row],[Yield (Kg/Ha)]]/Table1_2[[#This Row],[Area (Hectares)]]</f>
        <v>53.624793388429758</v>
      </c>
      <c r="S113" s="10">
        <f>Table1_2[[#This Row],[Yield per Acre]]/Table1_2[[#This Row],[Yield (Kg/Ha)]]</f>
        <v>1.0330578512396695E-2</v>
      </c>
      <c r="T113" s="11">
        <f>Table1_2[[#This Row],[Yield per Acre]]/N113</f>
        <v>0.65205244878927238</v>
      </c>
    </row>
    <row r="114" spans="1:20" x14ac:dyDescent="0.3">
      <c r="A114" s="8" t="s">
        <v>178</v>
      </c>
      <c r="B114" s="9">
        <v>2020</v>
      </c>
      <c r="C114" s="9" t="str">
        <f t="shared" si="1"/>
        <v>1905-07</v>
      </c>
      <c r="D114" s="10">
        <v>2020</v>
      </c>
      <c r="E114" s="8" t="s">
        <v>44</v>
      </c>
      <c r="F114" s="8" t="s">
        <v>45</v>
      </c>
      <c r="G114" s="8" t="s">
        <v>19</v>
      </c>
      <c r="H114" s="8" t="s">
        <v>39</v>
      </c>
      <c r="I114" s="10">
        <v>99.72</v>
      </c>
      <c r="J114" s="10">
        <v>645.66</v>
      </c>
      <c r="K114" s="10">
        <v>6474.69</v>
      </c>
      <c r="L114" s="8" t="s">
        <v>21</v>
      </c>
      <c r="M114" s="8" t="s">
        <v>41</v>
      </c>
      <c r="N114" s="10">
        <v>211.51</v>
      </c>
      <c r="O114" s="10">
        <v>623.41</v>
      </c>
      <c r="P114" s="8" t="s">
        <v>70</v>
      </c>
      <c r="Q114" s="10">
        <v>20.27</v>
      </c>
      <c r="R114" s="10">
        <f xml:space="preserve"> Table1_2[[#This Row],[Yield (Kg/Ha)]]/Table1_2[[#This Row],[Area (Hectares)]]</f>
        <v>64.928700361010826</v>
      </c>
      <c r="S114" s="10">
        <f>Table1_2[[#This Row],[Yield per Acre]]/Table1_2[[#This Row],[Yield (Kg/Ha)]]</f>
        <v>1.0028078620136383E-2</v>
      </c>
      <c r="T114" s="11">
        <f>Table1_2[[#This Row],[Yield per Acre]]/N114</f>
        <v>0.30697697679074665</v>
      </c>
    </row>
    <row r="115" spans="1:20" x14ac:dyDescent="0.3">
      <c r="A115" s="8" t="s">
        <v>179</v>
      </c>
      <c r="B115" s="9">
        <v>2023</v>
      </c>
      <c r="C115" s="9" t="str">
        <f t="shared" si="1"/>
        <v>1905-07</v>
      </c>
      <c r="D115" s="10">
        <v>2022</v>
      </c>
      <c r="E115" s="8" t="s">
        <v>103</v>
      </c>
      <c r="F115" s="8" t="s">
        <v>107</v>
      </c>
      <c r="G115" s="8" t="s">
        <v>38</v>
      </c>
      <c r="H115" s="8" t="s">
        <v>56</v>
      </c>
      <c r="I115" s="10">
        <v>23.43</v>
      </c>
      <c r="J115" s="10">
        <v>42.77</v>
      </c>
      <c r="K115" s="10">
        <v>1825.39</v>
      </c>
      <c r="L115" s="8" t="s">
        <v>21</v>
      </c>
      <c r="M115" s="8" t="s">
        <v>22</v>
      </c>
      <c r="N115" s="10">
        <v>123.95</v>
      </c>
      <c r="O115" s="10">
        <v>988.12</v>
      </c>
      <c r="P115" s="8" t="s">
        <v>61</v>
      </c>
      <c r="Q115" s="10">
        <v>31.56</v>
      </c>
      <c r="R115" s="10">
        <f xml:space="preserve"> Table1_2[[#This Row],[Yield (Kg/Ha)]]/Table1_2[[#This Row],[Area (Hectares)]]</f>
        <v>77.90823730260351</v>
      </c>
      <c r="S115" s="10">
        <f>Table1_2[[#This Row],[Yield per Acre]]/Table1_2[[#This Row],[Yield (Kg/Ha)]]</f>
        <v>4.268032437046522E-2</v>
      </c>
      <c r="T115" s="11">
        <f>Table1_2[[#This Row],[Yield per Acre]]/N115</f>
        <v>0.62854568215089557</v>
      </c>
    </row>
    <row r="116" spans="1:20" x14ac:dyDescent="0.3">
      <c r="A116" s="8" t="s">
        <v>180</v>
      </c>
      <c r="B116" s="9">
        <v>2022</v>
      </c>
      <c r="C116" s="9" t="str">
        <f t="shared" si="1"/>
        <v>1905-07</v>
      </c>
      <c r="D116" s="10">
        <v>2022</v>
      </c>
      <c r="E116" s="8" t="s">
        <v>17</v>
      </c>
      <c r="F116" s="8" t="s">
        <v>72</v>
      </c>
      <c r="G116" s="8" t="s">
        <v>19</v>
      </c>
      <c r="H116" s="8" t="s">
        <v>56</v>
      </c>
      <c r="I116" s="10">
        <v>60.13</v>
      </c>
      <c r="J116" s="10">
        <v>115.78</v>
      </c>
      <c r="K116" s="10">
        <v>1925.52</v>
      </c>
      <c r="L116" s="8" t="s">
        <v>40</v>
      </c>
      <c r="M116" s="8" t="s">
        <v>29</v>
      </c>
      <c r="N116" s="10">
        <v>257.83999999999997</v>
      </c>
      <c r="O116" s="10">
        <v>971.1</v>
      </c>
      <c r="P116" s="8" t="s">
        <v>42</v>
      </c>
      <c r="Q116" s="10">
        <v>30.82</v>
      </c>
      <c r="R116" s="10">
        <f xml:space="preserve"> Table1_2[[#This Row],[Yield (Kg/Ha)]]/Table1_2[[#This Row],[Area (Hectares)]]</f>
        <v>32.022617661732909</v>
      </c>
      <c r="S116" s="10">
        <f>Table1_2[[#This Row],[Yield per Acre]]/Table1_2[[#This Row],[Yield (Kg/Ha)]]</f>
        <v>1.6630633627141192E-2</v>
      </c>
      <c r="T116" s="11">
        <f>Table1_2[[#This Row],[Yield per Acre]]/N116</f>
        <v>0.1241956936927277</v>
      </c>
    </row>
    <row r="117" spans="1:20" x14ac:dyDescent="0.3">
      <c r="A117" s="8" t="s">
        <v>181</v>
      </c>
      <c r="B117" s="9">
        <v>2021</v>
      </c>
      <c r="C117" s="9" t="str">
        <f t="shared" si="1"/>
        <v>1905-07</v>
      </c>
      <c r="D117" s="10">
        <v>2021</v>
      </c>
      <c r="E117" s="8" t="s">
        <v>31</v>
      </c>
      <c r="F117" s="8" t="s">
        <v>117</v>
      </c>
      <c r="G117" s="8" t="s">
        <v>33</v>
      </c>
      <c r="H117" s="8" t="s">
        <v>46</v>
      </c>
      <c r="I117" s="10">
        <v>61.45</v>
      </c>
      <c r="J117" s="10">
        <v>338.86</v>
      </c>
      <c r="K117" s="10">
        <v>5514.35</v>
      </c>
      <c r="L117" s="8" t="s">
        <v>28</v>
      </c>
      <c r="M117" s="8" t="s">
        <v>49</v>
      </c>
      <c r="N117" s="10">
        <v>108.5</v>
      </c>
      <c r="O117" s="10">
        <v>439.17</v>
      </c>
      <c r="P117" s="8" t="s">
        <v>52</v>
      </c>
      <c r="Q117" s="10">
        <v>33.56</v>
      </c>
      <c r="R117" s="10">
        <f xml:space="preserve"> Table1_2[[#This Row],[Yield (Kg/Ha)]]/Table1_2[[#This Row],[Area (Hectares)]]</f>
        <v>89.737184703010584</v>
      </c>
      <c r="S117" s="10">
        <f>Table1_2[[#This Row],[Yield per Acre]]/Table1_2[[#This Row],[Yield (Kg/Ha)]]</f>
        <v>1.627339300244101E-2</v>
      </c>
      <c r="T117" s="11">
        <f>Table1_2[[#This Row],[Yield per Acre]]/N117</f>
        <v>0.82707082675585797</v>
      </c>
    </row>
    <row r="118" spans="1:20" x14ac:dyDescent="0.3">
      <c r="A118" s="8" t="s">
        <v>182</v>
      </c>
      <c r="B118" s="9">
        <v>2018</v>
      </c>
      <c r="C118" s="9" t="str">
        <f t="shared" si="1"/>
        <v>1905-07</v>
      </c>
      <c r="D118" s="10">
        <v>2017</v>
      </c>
      <c r="E118" s="8" t="s">
        <v>17</v>
      </c>
      <c r="F118" s="8" t="s">
        <v>54</v>
      </c>
      <c r="G118" s="8" t="s">
        <v>38</v>
      </c>
      <c r="H118" s="8" t="s">
        <v>20</v>
      </c>
      <c r="I118" s="10">
        <v>78.03</v>
      </c>
      <c r="J118" s="10">
        <v>313.48</v>
      </c>
      <c r="K118" s="10">
        <v>4017.44</v>
      </c>
      <c r="L118" s="8" t="s">
        <v>28</v>
      </c>
      <c r="M118" s="8" t="s">
        <v>22</v>
      </c>
      <c r="N118" s="10">
        <v>291.57</v>
      </c>
      <c r="O118" s="10">
        <v>1016.89</v>
      </c>
      <c r="P118" s="8" t="s">
        <v>61</v>
      </c>
      <c r="Q118" s="10">
        <v>22.08</v>
      </c>
      <c r="R118" s="10">
        <f xml:space="preserve"> Table1_2[[#This Row],[Yield (Kg/Ha)]]/Table1_2[[#This Row],[Area (Hectares)]]</f>
        <v>51.485838779956424</v>
      </c>
      <c r="S118" s="10">
        <f>Table1_2[[#This Row],[Yield per Acre]]/Table1_2[[#This Row],[Yield (Kg/Ha)]]</f>
        <v>1.2815583749839805E-2</v>
      </c>
      <c r="T118" s="11">
        <f>Table1_2[[#This Row],[Yield per Acre]]/N118</f>
        <v>0.17658139993811581</v>
      </c>
    </row>
    <row r="119" spans="1:20" x14ac:dyDescent="0.3">
      <c r="A119" s="8" t="s">
        <v>183</v>
      </c>
      <c r="B119" s="9">
        <v>2015</v>
      </c>
      <c r="C119" s="9" t="str">
        <f t="shared" si="1"/>
        <v>1905-07</v>
      </c>
      <c r="D119" s="10">
        <v>2015</v>
      </c>
      <c r="E119" s="8" t="s">
        <v>17</v>
      </c>
      <c r="F119" s="8" t="s">
        <v>72</v>
      </c>
      <c r="G119" s="8" t="s">
        <v>19</v>
      </c>
      <c r="H119" s="8" t="s">
        <v>64</v>
      </c>
      <c r="I119" s="10">
        <v>71.430000000000007</v>
      </c>
      <c r="J119" s="10">
        <v>292.54000000000002</v>
      </c>
      <c r="K119" s="10">
        <v>4095.46</v>
      </c>
      <c r="L119" s="8" t="s">
        <v>21</v>
      </c>
      <c r="M119" s="8" t="s">
        <v>41</v>
      </c>
      <c r="N119" s="10">
        <v>121.27</v>
      </c>
      <c r="O119" s="10">
        <v>963.12</v>
      </c>
      <c r="P119" s="8" t="s">
        <v>70</v>
      </c>
      <c r="Q119" s="10">
        <v>26.74</v>
      </c>
      <c r="R119" s="10">
        <f xml:space="preserve"> Table1_2[[#This Row],[Yield (Kg/Ha)]]/Table1_2[[#This Row],[Area (Hectares)]]</f>
        <v>57.335293294134111</v>
      </c>
      <c r="S119" s="10">
        <f>Table1_2[[#This Row],[Yield per Acre]]/Table1_2[[#This Row],[Yield (Kg/Ha)]]</f>
        <v>1.3999720005599887E-2</v>
      </c>
      <c r="T119" s="11">
        <f>Table1_2[[#This Row],[Yield per Acre]]/N119</f>
        <v>0.47279041225475477</v>
      </c>
    </row>
    <row r="120" spans="1:20" x14ac:dyDescent="0.3">
      <c r="A120" s="8" t="s">
        <v>184</v>
      </c>
      <c r="B120" s="9">
        <v>2011</v>
      </c>
      <c r="C120" s="9" t="str">
        <f t="shared" si="1"/>
        <v>1905-07</v>
      </c>
      <c r="D120" s="10">
        <v>2011</v>
      </c>
      <c r="E120" s="8" t="s">
        <v>44</v>
      </c>
      <c r="F120" s="8" t="s">
        <v>99</v>
      </c>
      <c r="G120" s="8" t="s">
        <v>33</v>
      </c>
      <c r="H120" s="8" t="s">
        <v>46</v>
      </c>
      <c r="I120" s="10">
        <v>88.58</v>
      </c>
      <c r="J120" s="10">
        <v>583.11</v>
      </c>
      <c r="K120" s="10">
        <v>6582.83</v>
      </c>
      <c r="L120" s="8" t="s">
        <v>28</v>
      </c>
      <c r="M120" s="8" t="s">
        <v>49</v>
      </c>
      <c r="N120" s="10">
        <v>63.31</v>
      </c>
      <c r="O120" s="10">
        <v>702.01</v>
      </c>
      <c r="P120" s="8" t="s">
        <v>42</v>
      </c>
      <c r="Q120" s="10">
        <v>25.79</v>
      </c>
      <c r="R120" s="10">
        <f xml:space="preserve"> Table1_2[[#This Row],[Yield (Kg/Ha)]]/Table1_2[[#This Row],[Area (Hectares)]]</f>
        <v>74.315082411379549</v>
      </c>
      <c r="S120" s="10">
        <f>Table1_2[[#This Row],[Yield per Acre]]/Table1_2[[#This Row],[Yield (Kg/Ha)]]</f>
        <v>1.1289230074508919E-2</v>
      </c>
      <c r="T120" s="11">
        <f>Table1_2[[#This Row],[Yield per Acre]]/N120</f>
        <v>1.1738285012064373</v>
      </c>
    </row>
    <row r="121" spans="1:20" x14ac:dyDescent="0.3">
      <c r="A121" s="8" t="s">
        <v>185</v>
      </c>
      <c r="B121" s="9">
        <v>2015</v>
      </c>
      <c r="C121" s="9" t="str">
        <f t="shared" si="1"/>
        <v>1905-07</v>
      </c>
      <c r="D121" s="10">
        <v>2015</v>
      </c>
      <c r="E121" s="8" t="s">
        <v>103</v>
      </c>
      <c r="F121" s="8" t="s">
        <v>104</v>
      </c>
      <c r="G121" s="8" t="s">
        <v>33</v>
      </c>
      <c r="H121" s="8" t="s">
        <v>39</v>
      </c>
      <c r="I121" s="10">
        <v>65.349999999999994</v>
      </c>
      <c r="J121" s="10">
        <v>375.65</v>
      </c>
      <c r="K121" s="10">
        <v>5748.28</v>
      </c>
      <c r="L121" s="8" t="s">
        <v>40</v>
      </c>
      <c r="M121" s="8" t="s">
        <v>29</v>
      </c>
      <c r="N121" s="10">
        <v>59.58</v>
      </c>
      <c r="O121" s="10">
        <v>1117.4000000000001</v>
      </c>
      <c r="P121" s="8" t="s">
        <v>52</v>
      </c>
      <c r="Q121" s="10">
        <v>30.44</v>
      </c>
      <c r="R121" s="10">
        <f xml:space="preserve"> Table1_2[[#This Row],[Yield (Kg/Ha)]]/Table1_2[[#This Row],[Area (Hectares)]]</f>
        <v>87.961438408569251</v>
      </c>
      <c r="S121" s="10">
        <f>Table1_2[[#This Row],[Yield per Acre]]/Table1_2[[#This Row],[Yield (Kg/Ha)]]</f>
        <v>1.5302218821729153E-2</v>
      </c>
      <c r="T121" s="11">
        <f>Table1_2[[#This Row],[Yield per Acre]]/N121</f>
        <v>1.4763584828561473</v>
      </c>
    </row>
    <row r="122" spans="1:20" x14ac:dyDescent="0.3">
      <c r="A122" s="8" t="s">
        <v>186</v>
      </c>
      <c r="B122" s="9">
        <v>2010</v>
      </c>
      <c r="C122" s="9" t="str">
        <f t="shared" si="1"/>
        <v>1905-07</v>
      </c>
      <c r="D122" s="10">
        <v>2010</v>
      </c>
      <c r="E122" s="8" t="s">
        <v>36</v>
      </c>
      <c r="F122" s="8" t="s">
        <v>77</v>
      </c>
      <c r="G122" s="8" t="s">
        <v>33</v>
      </c>
      <c r="H122" s="8" t="s">
        <v>64</v>
      </c>
      <c r="I122" s="10">
        <v>26.34</v>
      </c>
      <c r="J122" s="10">
        <v>158.30000000000001</v>
      </c>
      <c r="K122" s="10">
        <v>6009.78</v>
      </c>
      <c r="L122" s="8" t="s">
        <v>28</v>
      </c>
      <c r="M122" s="8" t="s">
        <v>29</v>
      </c>
      <c r="N122" s="10">
        <v>77.8</v>
      </c>
      <c r="O122" s="10">
        <v>488.1</v>
      </c>
      <c r="P122" s="8" t="s">
        <v>70</v>
      </c>
      <c r="Q122" s="10">
        <v>21.83</v>
      </c>
      <c r="R122" s="10">
        <f xml:space="preserve"> Table1_2[[#This Row],[Yield (Kg/Ha)]]/Table1_2[[#This Row],[Area (Hectares)]]</f>
        <v>228.16173120728928</v>
      </c>
      <c r="S122" s="10">
        <f>Table1_2[[#This Row],[Yield per Acre]]/Table1_2[[#This Row],[Yield (Kg/Ha)]]</f>
        <v>3.7965072133637055E-2</v>
      </c>
      <c r="T122" s="11">
        <f>Table1_2[[#This Row],[Yield per Acre]]/N122</f>
        <v>2.9326700669317387</v>
      </c>
    </row>
    <row r="123" spans="1:20" x14ac:dyDescent="0.3">
      <c r="A123" s="8" t="s">
        <v>187</v>
      </c>
      <c r="B123" s="9">
        <v>2017</v>
      </c>
      <c r="C123" s="9" t="str">
        <f t="shared" si="1"/>
        <v>1905-07</v>
      </c>
      <c r="D123" s="10">
        <v>2017</v>
      </c>
      <c r="E123" s="8" t="s">
        <v>17</v>
      </c>
      <c r="F123" s="8" t="s">
        <v>54</v>
      </c>
      <c r="G123" s="8" t="s">
        <v>33</v>
      </c>
      <c r="H123" s="8" t="s">
        <v>64</v>
      </c>
      <c r="I123" s="10">
        <v>83.83</v>
      </c>
      <c r="J123" s="10">
        <v>335.23</v>
      </c>
      <c r="K123" s="10">
        <v>3998.98</v>
      </c>
      <c r="L123" s="8" t="s">
        <v>21</v>
      </c>
      <c r="M123" s="8" t="s">
        <v>47</v>
      </c>
      <c r="N123" s="10">
        <v>207.99</v>
      </c>
      <c r="O123" s="10">
        <v>775.05</v>
      </c>
      <c r="P123" s="8" t="s">
        <v>42</v>
      </c>
      <c r="Q123" s="10">
        <v>24.37</v>
      </c>
      <c r="R123" s="10">
        <f xml:space="preserve"> Table1_2[[#This Row],[Yield (Kg/Ha)]]/Table1_2[[#This Row],[Area (Hectares)]]</f>
        <v>47.703447453179052</v>
      </c>
      <c r="S123" s="10">
        <f>Table1_2[[#This Row],[Yield per Acre]]/Table1_2[[#This Row],[Yield (Kg/Ha)]]</f>
        <v>1.1928903733746868E-2</v>
      </c>
      <c r="T123" s="11">
        <f>Table1_2[[#This Row],[Yield per Acre]]/N123</f>
        <v>0.22935452403086229</v>
      </c>
    </row>
    <row r="124" spans="1:20" x14ac:dyDescent="0.3">
      <c r="A124" s="8" t="s">
        <v>188</v>
      </c>
      <c r="B124" s="9">
        <v>2020</v>
      </c>
      <c r="C124" s="9" t="str">
        <f t="shared" si="1"/>
        <v>1905-07</v>
      </c>
      <c r="D124" s="10">
        <v>2019</v>
      </c>
      <c r="E124" s="8" t="s">
        <v>31</v>
      </c>
      <c r="F124" s="8" t="s">
        <v>82</v>
      </c>
      <c r="G124" s="8" t="s">
        <v>38</v>
      </c>
      <c r="H124" s="8" t="s">
        <v>56</v>
      </c>
      <c r="I124" s="10">
        <v>66.77</v>
      </c>
      <c r="J124" s="10">
        <v>101.07</v>
      </c>
      <c r="K124" s="10">
        <v>1513.68</v>
      </c>
      <c r="L124" s="8" t="s">
        <v>34</v>
      </c>
      <c r="M124" s="8" t="s">
        <v>47</v>
      </c>
      <c r="N124" s="10">
        <v>66.92</v>
      </c>
      <c r="O124" s="10">
        <v>726.06</v>
      </c>
      <c r="P124" s="8" t="s">
        <v>61</v>
      </c>
      <c r="Q124" s="10">
        <v>31.8</v>
      </c>
      <c r="R124" s="10">
        <f xml:space="preserve"> Table1_2[[#This Row],[Yield (Kg/Ha)]]/Table1_2[[#This Row],[Area (Hectares)]]</f>
        <v>22.670061404822526</v>
      </c>
      <c r="S124" s="10">
        <f>Table1_2[[#This Row],[Yield per Acre]]/Table1_2[[#This Row],[Yield (Kg/Ha)]]</f>
        <v>1.4976785981728321E-2</v>
      </c>
      <c r="T124" s="11">
        <f>Table1_2[[#This Row],[Yield per Acre]]/N124</f>
        <v>0.33876361931892596</v>
      </c>
    </row>
    <row r="125" spans="1:20" x14ac:dyDescent="0.3">
      <c r="A125" s="8" t="s">
        <v>189</v>
      </c>
      <c r="B125" s="9">
        <v>2017</v>
      </c>
      <c r="C125" s="9" t="str">
        <f t="shared" si="1"/>
        <v>1905-07</v>
      </c>
      <c r="D125" s="10">
        <v>2017</v>
      </c>
      <c r="E125" s="8" t="s">
        <v>25</v>
      </c>
      <c r="F125" s="8" t="s">
        <v>87</v>
      </c>
      <c r="G125" s="8" t="s">
        <v>33</v>
      </c>
      <c r="H125" s="8" t="s">
        <v>39</v>
      </c>
      <c r="I125" s="10">
        <v>39.299999999999997</v>
      </c>
      <c r="J125" s="10">
        <v>127.32</v>
      </c>
      <c r="K125" s="10">
        <v>3239.81</v>
      </c>
      <c r="L125" s="8" t="s">
        <v>21</v>
      </c>
      <c r="M125" s="8" t="s">
        <v>47</v>
      </c>
      <c r="N125" s="10">
        <v>139.27000000000001</v>
      </c>
      <c r="O125" s="10">
        <v>267.56</v>
      </c>
      <c r="P125" s="8" t="s">
        <v>42</v>
      </c>
      <c r="Q125" s="10">
        <v>30.99</v>
      </c>
      <c r="R125" s="10">
        <f xml:space="preserve"> Table1_2[[#This Row],[Yield (Kg/Ha)]]/Table1_2[[#This Row],[Area (Hectares)]]</f>
        <v>82.437913486005087</v>
      </c>
      <c r="S125" s="10">
        <f>Table1_2[[#This Row],[Yield per Acre]]/Table1_2[[#This Row],[Yield (Kg/Ha)]]</f>
        <v>2.5445292620865138E-2</v>
      </c>
      <c r="T125" s="11">
        <f>Table1_2[[#This Row],[Yield per Acre]]/N125</f>
        <v>0.59192872467871815</v>
      </c>
    </row>
    <row r="126" spans="1:20" x14ac:dyDescent="0.3">
      <c r="A126" s="8" t="s">
        <v>190</v>
      </c>
      <c r="B126" s="9">
        <v>2012</v>
      </c>
      <c r="C126" s="9" t="str">
        <f t="shared" si="1"/>
        <v>1905-07</v>
      </c>
      <c r="D126" s="10">
        <v>2012</v>
      </c>
      <c r="E126" s="8" t="s">
        <v>17</v>
      </c>
      <c r="F126" s="8" t="s">
        <v>72</v>
      </c>
      <c r="G126" s="8" t="s">
        <v>33</v>
      </c>
      <c r="H126" s="8" t="s">
        <v>20</v>
      </c>
      <c r="I126" s="10">
        <v>55.06</v>
      </c>
      <c r="J126" s="10">
        <v>323.81</v>
      </c>
      <c r="K126" s="10">
        <v>5881.05</v>
      </c>
      <c r="L126" s="8" t="s">
        <v>40</v>
      </c>
      <c r="M126" s="8" t="s">
        <v>22</v>
      </c>
      <c r="N126" s="10">
        <v>257.60000000000002</v>
      </c>
      <c r="O126" s="10">
        <v>884.68</v>
      </c>
      <c r="P126" s="8" t="s">
        <v>52</v>
      </c>
      <c r="Q126" s="10">
        <v>29.48</v>
      </c>
      <c r="R126" s="10">
        <f xml:space="preserve"> Table1_2[[#This Row],[Yield (Kg/Ha)]]/Table1_2[[#This Row],[Area (Hectares)]]</f>
        <v>106.81166000726481</v>
      </c>
      <c r="S126" s="10">
        <f>Table1_2[[#This Row],[Yield per Acre]]/Table1_2[[#This Row],[Yield (Kg/Ha)]]</f>
        <v>1.8162005085361425E-2</v>
      </c>
      <c r="T126" s="11">
        <f>Table1_2[[#This Row],[Yield per Acre]]/N126</f>
        <v>0.41464153729528258</v>
      </c>
    </row>
    <row r="127" spans="1:20" x14ac:dyDescent="0.3">
      <c r="A127" s="8" t="s">
        <v>191</v>
      </c>
      <c r="B127" s="9">
        <v>2011</v>
      </c>
      <c r="C127" s="9" t="str">
        <f t="shared" si="1"/>
        <v>1905-07</v>
      </c>
      <c r="D127" s="10">
        <v>2010</v>
      </c>
      <c r="E127" s="8" t="s">
        <v>17</v>
      </c>
      <c r="F127" s="8" t="s">
        <v>72</v>
      </c>
      <c r="G127" s="8" t="s">
        <v>38</v>
      </c>
      <c r="H127" s="8" t="s">
        <v>56</v>
      </c>
      <c r="I127" s="10">
        <v>5.34</v>
      </c>
      <c r="J127" s="10">
        <v>11.73</v>
      </c>
      <c r="K127" s="10">
        <v>2196.8200000000002</v>
      </c>
      <c r="L127" s="8" t="s">
        <v>21</v>
      </c>
      <c r="M127" s="8" t="s">
        <v>29</v>
      </c>
      <c r="N127" s="10">
        <v>128.9</v>
      </c>
      <c r="O127" s="10">
        <v>510.08</v>
      </c>
      <c r="P127" s="8" t="s">
        <v>52</v>
      </c>
      <c r="Q127" s="10">
        <v>34.840000000000003</v>
      </c>
      <c r="R127" s="10">
        <f xml:space="preserve"> Table1_2[[#This Row],[Yield (Kg/Ha)]]/Table1_2[[#This Row],[Area (Hectares)]]</f>
        <v>411.38951310861427</v>
      </c>
      <c r="S127" s="10">
        <f>Table1_2[[#This Row],[Yield per Acre]]/Table1_2[[#This Row],[Yield (Kg/Ha)]]</f>
        <v>0.18726591760299627</v>
      </c>
      <c r="T127" s="11">
        <f>Table1_2[[#This Row],[Yield per Acre]]/N127</f>
        <v>3.1915400551482875</v>
      </c>
    </row>
    <row r="128" spans="1:20" x14ac:dyDescent="0.3">
      <c r="A128" s="8" t="s">
        <v>192</v>
      </c>
      <c r="B128" s="9">
        <v>2022</v>
      </c>
      <c r="C128" s="9" t="str">
        <f t="shared" si="1"/>
        <v>1905-07</v>
      </c>
      <c r="D128" s="10">
        <v>2022</v>
      </c>
      <c r="E128" s="8" t="s">
        <v>31</v>
      </c>
      <c r="F128" s="8" t="s">
        <v>82</v>
      </c>
      <c r="G128" s="8" t="s">
        <v>19</v>
      </c>
      <c r="H128" s="8" t="s">
        <v>56</v>
      </c>
      <c r="I128" s="10">
        <v>29.32</v>
      </c>
      <c r="J128" s="10">
        <v>180.99</v>
      </c>
      <c r="K128" s="10">
        <v>6172.83</v>
      </c>
      <c r="L128" s="8" t="s">
        <v>21</v>
      </c>
      <c r="M128" s="8" t="s">
        <v>29</v>
      </c>
      <c r="N128" s="10">
        <v>266.45</v>
      </c>
      <c r="O128" s="10">
        <v>531.91999999999996</v>
      </c>
      <c r="P128" s="8" t="s">
        <v>23</v>
      </c>
      <c r="Q128" s="10">
        <v>31.99</v>
      </c>
      <c r="R128" s="10">
        <f xml:space="preserve"> Table1_2[[#This Row],[Yield (Kg/Ha)]]/Table1_2[[#This Row],[Area (Hectares)]]</f>
        <v>210.53308321964528</v>
      </c>
      <c r="S128" s="10">
        <f>Table1_2[[#This Row],[Yield per Acre]]/Table1_2[[#This Row],[Yield (Kg/Ha)]]</f>
        <v>3.4106412005457026E-2</v>
      </c>
      <c r="T128" s="11">
        <f>Table1_2[[#This Row],[Yield per Acre]]/N128</f>
        <v>0.79014105167815829</v>
      </c>
    </row>
    <row r="129" spans="1:20" x14ac:dyDescent="0.3">
      <c r="A129" s="8" t="s">
        <v>193</v>
      </c>
      <c r="B129" s="9">
        <v>2016</v>
      </c>
      <c r="C129" s="9" t="str">
        <f t="shared" si="1"/>
        <v>1905-07</v>
      </c>
      <c r="D129" s="10">
        <v>2016</v>
      </c>
      <c r="E129" s="8" t="s">
        <v>17</v>
      </c>
      <c r="F129" s="8" t="s">
        <v>72</v>
      </c>
      <c r="G129" s="8" t="s">
        <v>38</v>
      </c>
      <c r="H129" s="8" t="s">
        <v>56</v>
      </c>
      <c r="I129" s="10">
        <v>50.12</v>
      </c>
      <c r="J129" s="10">
        <v>199.74</v>
      </c>
      <c r="K129" s="10">
        <v>3985.14</v>
      </c>
      <c r="L129" s="8" t="s">
        <v>34</v>
      </c>
      <c r="M129" s="8" t="s">
        <v>47</v>
      </c>
      <c r="N129" s="10">
        <v>250.29</v>
      </c>
      <c r="O129" s="10">
        <v>927.08</v>
      </c>
      <c r="P129" s="8" t="s">
        <v>23</v>
      </c>
      <c r="Q129" s="10">
        <v>26.46</v>
      </c>
      <c r="R129" s="10">
        <f xml:space="preserve"> Table1_2[[#This Row],[Yield (Kg/Ha)]]/Table1_2[[#This Row],[Area (Hectares)]]</f>
        <v>79.511971268954511</v>
      </c>
      <c r="S129" s="10">
        <f>Table1_2[[#This Row],[Yield per Acre]]/Table1_2[[#This Row],[Yield (Kg/Ha)]]</f>
        <v>1.9952114924181964E-2</v>
      </c>
      <c r="T129" s="11">
        <f>Table1_2[[#This Row],[Yield per Acre]]/N129</f>
        <v>0.3176793769984998</v>
      </c>
    </row>
    <row r="130" spans="1:20" x14ac:dyDescent="0.3">
      <c r="A130" s="8" t="s">
        <v>194</v>
      </c>
      <c r="B130" s="9">
        <v>2011</v>
      </c>
      <c r="C130" s="9" t="str">
        <f t="shared" ref="C130:C193" si="2">TEXT(B130,"YYYY-MM")</f>
        <v>1905-07</v>
      </c>
      <c r="D130" s="10">
        <v>2011</v>
      </c>
      <c r="E130" s="8" t="s">
        <v>31</v>
      </c>
      <c r="F130" s="8" t="s">
        <v>32</v>
      </c>
      <c r="G130" s="8" t="s">
        <v>33</v>
      </c>
      <c r="H130" s="8" t="s">
        <v>20</v>
      </c>
      <c r="I130" s="10">
        <v>66.430000000000007</v>
      </c>
      <c r="J130" s="10">
        <v>188.59</v>
      </c>
      <c r="K130" s="10">
        <v>2838.98</v>
      </c>
      <c r="L130" s="8" t="s">
        <v>28</v>
      </c>
      <c r="M130" s="8" t="s">
        <v>47</v>
      </c>
      <c r="N130" s="10">
        <v>91.66</v>
      </c>
      <c r="O130" s="10">
        <v>643.91</v>
      </c>
      <c r="P130" s="8" t="s">
        <v>52</v>
      </c>
      <c r="Q130" s="10">
        <v>20.64</v>
      </c>
      <c r="R130" s="10">
        <f xml:space="preserve"> Table1_2[[#This Row],[Yield (Kg/Ha)]]/Table1_2[[#This Row],[Area (Hectares)]]</f>
        <v>42.736414270660845</v>
      </c>
      <c r="S130" s="10">
        <f>Table1_2[[#This Row],[Yield per Acre]]/Table1_2[[#This Row],[Yield (Kg/Ha)]]</f>
        <v>1.5053439710973957E-2</v>
      </c>
      <c r="T130" s="11">
        <f>Table1_2[[#This Row],[Yield per Acre]]/N130</f>
        <v>0.46624933744993285</v>
      </c>
    </row>
    <row r="131" spans="1:20" x14ac:dyDescent="0.3">
      <c r="A131" s="8" t="s">
        <v>195</v>
      </c>
      <c r="B131" s="9">
        <v>2020</v>
      </c>
      <c r="C131" s="9" t="str">
        <f t="shared" si="2"/>
        <v>1905-07</v>
      </c>
      <c r="D131" s="10">
        <v>2020</v>
      </c>
      <c r="E131" s="8" t="s">
        <v>36</v>
      </c>
      <c r="F131" s="8" t="s">
        <v>51</v>
      </c>
      <c r="G131" s="8" t="s">
        <v>33</v>
      </c>
      <c r="H131" s="8" t="s">
        <v>64</v>
      </c>
      <c r="I131" s="10">
        <v>67.45</v>
      </c>
      <c r="J131" s="10">
        <v>231.84</v>
      </c>
      <c r="K131" s="10">
        <v>3437.26</v>
      </c>
      <c r="L131" s="8" t="s">
        <v>40</v>
      </c>
      <c r="M131" s="8" t="s">
        <v>22</v>
      </c>
      <c r="N131" s="10">
        <v>288.2</v>
      </c>
      <c r="O131" s="10">
        <v>342.78</v>
      </c>
      <c r="P131" s="8" t="s">
        <v>61</v>
      </c>
      <c r="Q131" s="10">
        <v>30.17</v>
      </c>
      <c r="R131" s="10">
        <f xml:space="preserve"> Table1_2[[#This Row],[Yield (Kg/Ha)]]/Table1_2[[#This Row],[Area (Hectares)]]</f>
        <v>50.960118606375097</v>
      </c>
      <c r="S131" s="10">
        <f>Table1_2[[#This Row],[Yield per Acre]]/Table1_2[[#This Row],[Yield (Kg/Ha)]]</f>
        <v>1.4825796886582655E-2</v>
      </c>
      <c r="T131" s="11">
        <f>Table1_2[[#This Row],[Yield per Acre]]/N131</f>
        <v>0.17682206317271026</v>
      </c>
    </row>
    <row r="132" spans="1:20" x14ac:dyDescent="0.3">
      <c r="A132" s="8" t="s">
        <v>196</v>
      </c>
      <c r="B132" s="9">
        <v>2013</v>
      </c>
      <c r="C132" s="9" t="str">
        <f t="shared" si="2"/>
        <v>1905-07</v>
      </c>
      <c r="D132" s="10">
        <v>2013</v>
      </c>
      <c r="E132" s="8" t="s">
        <v>103</v>
      </c>
      <c r="F132" s="8" t="s">
        <v>104</v>
      </c>
      <c r="G132" s="8" t="s">
        <v>19</v>
      </c>
      <c r="H132" s="8" t="s">
        <v>20</v>
      </c>
      <c r="I132" s="10">
        <v>36.85</v>
      </c>
      <c r="J132" s="10">
        <v>246.78</v>
      </c>
      <c r="K132" s="10">
        <v>6696.8</v>
      </c>
      <c r="L132" s="8" t="s">
        <v>21</v>
      </c>
      <c r="M132" s="8" t="s">
        <v>22</v>
      </c>
      <c r="N132" s="10">
        <v>201.27</v>
      </c>
      <c r="O132" s="10">
        <v>879.06</v>
      </c>
      <c r="P132" s="8" t="s">
        <v>70</v>
      </c>
      <c r="Q132" s="10">
        <v>25.58</v>
      </c>
      <c r="R132" s="10">
        <f xml:space="preserve"> Table1_2[[#This Row],[Yield (Kg/Ha)]]/Table1_2[[#This Row],[Area (Hectares)]]</f>
        <v>181.73134328358208</v>
      </c>
      <c r="S132" s="10">
        <f>Table1_2[[#This Row],[Yield per Acre]]/Table1_2[[#This Row],[Yield (Kg/Ha)]]</f>
        <v>2.7137042062415195E-2</v>
      </c>
      <c r="T132" s="11">
        <f>Table1_2[[#This Row],[Yield per Acre]]/N132</f>
        <v>0.90292315438754944</v>
      </c>
    </row>
    <row r="133" spans="1:20" x14ac:dyDescent="0.3">
      <c r="A133" s="8" t="s">
        <v>197</v>
      </c>
      <c r="B133" s="9">
        <v>2019</v>
      </c>
      <c r="C133" s="9" t="str">
        <f t="shared" si="2"/>
        <v>1905-07</v>
      </c>
      <c r="D133" s="10">
        <v>2018</v>
      </c>
      <c r="E133" s="8" t="s">
        <v>59</v>
      </c>
      <c r="F133" s="8" t="s">
        <v>60</v>
      </c>
      <c r="G133" s="8" t="s">
        <v>38</v>
      </c>
      <c r="H133" s="8" t="s">
        <v>46</v>
      </c>
      <c r="I133" s="10">
        <v>32.119999999999997</v>
      </c>
      <c r="J133" s="10">
        <v>85.83</v>
      </c>
      <c r="K133" s="10">
        <v>2672.14</v>
      </c>
      <c r="L133" s="8" t="s">
        <v>21</v>
      </c>
      <c r="M133" s="8" t="s">
        <v>22</v>
      </c>
      <c r="N133" s="10">
        <v>56.48</v>
      </c>
      <c r="O133" s="10">
        <v>386.05</v>
      </c>
      <c r="P133" s="8" t="s">
        <v>61</v>
      </c>
      <c r="Q133" s="10">
        <v>25.8</v>
      </c>
      <c r="R133" s="10">
        <f xml:space="preserve"> Table1_2[[#This Row],[Yield (Kg/Ha)]]/Table1_2[[#This Row],[Area (Hectares)]]</f>
        <v>83.192403486924036</v>
      </c>
      <c r="S133" s="10">
        <f>Table1_2[[#This Row],[Yield per Acre]]/Table1_2[[#This Row],[Yield (Kg/Ha)]]</f>
        <v>3.1133250311332506E-2</v>
      </c>
      <c r="T133" s="11">
        <f>Table1_2[[#This Row],[Yield per Acre]]/N133</f>
        <v>1.472953319527692</v>
      </c>
    </row>
    <row r="134" spans="1:20" x14ac:dyDescent="0.3">
      <c r="A134" s="8" t="s">
        <v>198</v>
      </c>
      <c r="B134" s="9">
        <v>2022</v>
      </c>
      <c r="C134" s="9" t="str">
        <f t="shared" si="2"/>
        <v>1905-07</v>
      </c>
      <c r="D134" s="10">
        <v>2021</v>
      </c>
      <c r="E134" s="8" t="s">
        <v>31</v>
      </c>
      <c r="F134" s="8" t="s">
        <v>32</v>
      </c>
      <c r="G134" s="8" t="s">
        <v>38</v>
      </c>
      <c r="H134" s="8" t="s">
        <v>56</v>
      </c>
      <c r="I134" s="10">
        <v>99.64</v>
      </c>
      <c r="J134" s="10">
        <v>270.37</v>
      </c>
      <c r="K134" s="10">
        <v>2713.46</v>
      </c>
      <c r="L134" s="8" t="s">
        <v>28</v>
      </c>
      <c r="M134" s="8" t="s">
        <v>22</v>
      </c>
      <c r="N134" s="10">
        <v>100.04</v>
      </c>
      <c r="O134" s="10">
        <v>335.73</v>
      </c>
      <c r="P134" s="8" t="s">
        <v>23</v>
      </c>
      <c r="Q134" s="10">
        <v>26.78</v>
      </c>
      <c r="R134" s="10">
        <f xml:space="preserve"> Table1_2[[#This Row],[Yield (Kg/Ha)]]/Table1_2[[#This Row],[Area (Hectares)]]</f>
        <v>27.232637494981937</v>
      </c>
      <c r="S134" s="10">
        <f>Table1_2[[#This Row],[Yield per Acre]]/Table1_2[[#This Row],[Yield (Kg/Ha)]]</f>
        <v>1.0036130068245684E-2</v>
      </c>
      <c r="T134" s="11">
        <f>Table1_2[[#This Row],[Yield per Acre]]/N134</f>
        <v>0.27221748795463752</v>
      </c>
    </row>
    <row r="135" spans="1:20" x14ac:dyDescent="0.3">
      <c r="A135" s="8" t="s">
        <v>199</v>
      </c>
      <c r="B135" s="9">
        <v>2015</v>
      </c>
      <c r="C135" s="9" t="str">
        <f t="shared" si="2"/>
        <v>1905-07</v>
      </c>
      <c r="D135" s="10">
        <v>2015</v>
      </c>
      <c r="E135" s="8" t="s">
        <v>44</v>
      </c>
      <c r="F135" s="8" t="s">
        <v>67</v>
      </c>
      <c r="G135" s="8" t="s">
        <v>19</v>
      </c>
      <c r="H135" s="8" t="s">
        <v>20</v>
      </c>
      <c r="I135" s="10">
        <v>71.239999999999995</v>
      </c>
      <c r="J135" s="10">
        <v>306.33</v>
      </c>
      <c r="K135" s="10">
        <v>4299.9799999999996</v>
      </c>
      <c r="L135" s="8" t="s">
        <v>34</v>
      </c>
      <c r="M135" s="8" t="s">
        <v>41</v>
      </c>
      <c r="N135" s="10">
        <v>272.83</v>
      </c>
      <c r="O135" s="10">
        <v>1051.3599999999999</v>
      </c>
      <c r="P135" s="8" t="s">
        <v>42</v>
      </c>
      <c r="Q135" s="10">
        <v>31.91</v>
      </c>
      <c r="R135" s="10">
        <f xml:space="preserve"> Table1_2[[#This Row],[Yield (Kg/Ha)]]/Table1_2[[#This Row],[Area (Hectares)]]</f>
        <v>60.35906793935991</v>
      </c>
      <c r="S135" s="10">
        <f>Table1_2[[#This Row],[Yield per Acre]]/Table1_2[[#This Row],[Yield (Kg/Ha)]]</f>
        <v>1.4037057832678272E-2</v>
      </c>
      <c r="T135" s="11">
        <f>Table1_2[[#This Row],[Yield per Acre]]/N135</f>
        <v>0.22123325125301438</v>
      </c>
    </row>
    <row r="136" spans="1:20" x14ac:dyDescent="0.3">
      <c r="A136" s="8" t="s">
        <v>200</v>
      </c>
      <c r="B136" s="9">
        <v>2022</v>
      </c>
      <c r="C136" s="9" t="str">
        <f t="shared" si="2"/>
        <v>1905-07</v>
      </c>
      <c r="D136" s="10">
        <v>2022</v>
      </c>
      <c r="E136" s="8" t="s">
        <v>25</v>
      </c>
      <c r="F136" s="8" t="s">
        <v>26</v>
      </c>
      <c r="G136" s="8" t="s">
        <v>33</v>
      </c>
      <c r="H136" s="8" t="s">
        <v>56</v>
      </c>
      <c r="I136" s="10">
        <v>79.25</v>
      </c>
      <c r="J136" s="10">
        <v>91.75</v>
      </c>
      <c r="K136" s="10">
        <v>1157.7</v>
      </c>
      <c r="L136" s="8" t="s">
        <v>34</v>
      </c>
      <c r="M136" s="8" t="s">
        <v>22</v>
      </c>
      <c r="N136" s="10">
        <v>166.85</v>
      </c>
      <c r="O136" s="10">
        <v>1183.01</v>
      </c>
      <c r="P136" s="8" t="s">
        <v>42</v>
      </c>
      <c r="Q136" s="10">
        <v>29.18</v>
      </c>
      <c r="R136" s="10">
        <f xml:space="preserve"> Table1_2[[#This Row],[Yield (Kg/Ha)]]/Table1_2[[#This Row],[Area (Hectares)]]</f>
        <v>14.60820189274448</v>
      </c>
      <c r="S136" s="10">
        <f>Table1_2[[#This Row],[Yield per Acre]]/Table1_2[[#This Row],[Yield (Kg/Ha)]]</f>
        <v>1.2618296529968454E-2</v>
      </c>
      <c r="T136" s="11">
        <f>Table1_2[[#This Row],[Yield per Acre]]/N136</f>
        <v>8.7552903162987597E-2</v>
      </c>
    </row>
    <row r="137" spans="1:20" x14ac:dyDescent="0.3">
      <c r="A137" s="8" t="s">
        <v>201</v>
      </c>
      <c r="B137" s="9">
        <v>2021</v>
      </c>
      <c r="C137" s="9" t="str">
        <f t="shared" si="2"/>
        <v>1905-07</v>
      </c>
      <c r="D137" s="10">
        <v>2021</v>
      </c>
      <c r="E137" s="8" t="s">
        <v>31</v>
      </c>
      <c r="F137" s="8" t="s">
        <v>32</v>
      </c>
      <c r="G137" s="8" t="s">
        <v>19</v>
      </c>
      <c r="H137" s="8" t="s">
        <v>46</v>
      </c>
      <c r="I137" s="10">
        <v>53.04</v>
      </c>
      <c r="J137" s="10">
        <v>297.82</v>
      </c>
      <c r="K137" s="10">
        <v>5614.99</v>
      </c>
      <c r="L137" s="8" t="s">
        <v>21</v>
      </c>
      <c r="M137" s="8" t="s">
        <v>47</v>
      </c>
      <c r="N137" s="10">
        <v>81.33</v>
      </c>
      <c r="O137" s="10">
        <v>517.03</v>
      </c>
      <c r="P137" s="8" t="s">
        <v>23</v>
      </c>
      <c r="Q137" s="10">
        <v>26.75</v>
      </c>
      <c r="R137" s="10">
        <f xml:space="preserve"> Table1_2[[#This Row],[Yield (Kg/Ha)]]/Table1_2[[#This Row],[Area (Hectares)]]</f>
        <v>105.86331070889894</v>
      </c>
      <c r="S137" s="10">
        <f>Table1_2[[#This Row],[Yield per Acre]]/Table1_2[[#This Row],[Yield (Kg/Ha)]]</f>
        <v>1.8853695324283559E-2</v>
      </c>
      <c r="T137" s="11">
        <f>Table1_2[[#This Row],[Yield per Acre]]/N137</f>
        <v>1.3016514288564975</v>
      </c>
    </row>
    <row r="138" spans="1:20" x14ac:dyDescent="0.3">
      <c r="A138" s="8" t="s">
        <v>202</v>
      </c>
      <c r="B138" s="9">
        <v>2022</v>
      </c>
      <c r="C138" s="9" t="str">
        <f t="shared" si="2"/>
        <v>1905-07</v>
      </c>
      <c r="D138" s="10">
        <v>2022</v>
      </c>
      <c r="E138" s="8" t="s">
        <v>31</v>
      </c>
      <c r="F138" s="8" t="s">
        <v>82</v>
      </c>
      <c r="G138" s="8" t="s">
        <v>19</v>
      </c>
      <c r="H138" s="8" t="s">
        <v>39</v>
      </c>
      <c r="I138" s="10">
        <v>59.19</v>
      </c>
      <c r="J138" s="10">
        <v>331.86</v>
      </c>
      <c r="K138" s="10">
        <v>5606.69</v>
      </c>
      <c r="L138" s="8" t="s">
        <v>40</v>
      </c>
      <c r="M138" s="8" t="s">
        <v>41</v>
      </c>
      <c r="N138" s="10">
        <v>158.15</v>
      </c>
      <c r="O138" s="10">
        <v>1110.71</v>
      </c>
      <c r="P138" s="8" t="s">
        <v>23</v>
      </c>
      <c r="Q138" s="10">
        <v>32.47</v>
      </c>
      <c r="R138" s="10">
        <f xml:space="preserve"> Table1_2[[#This Row],[Yield (Kg/Ha)]]/Table1_2[[#This Row],[Area (Hectares)]]</f>
        <v>94.7236019597905</v>
      </c>
      <c r="S138" s="10">
        <f>Table1_2[[#This Row],[Yield per Acre]]/Table1_2[[#This Row],[Yield (Kg/Ha)]]</f>
        <v>1.6894745734076701E-2</v>
      </c>
      <c r="T138" s="11">
        <f>Table1_2[[#This Row],[Yield per Acre]]/N138</f>
        <v>0.59894784672646539</v>
      </c>
    </row>
    <row r="139" spans="1:20" x14ac:dyDescent="0.3">
      <c r="A139" s="8" t="s">
        <v>203</v>
      </c>
      <c r="B139" s="9">
        <v>2013</v>
      </c>
      <c r="C139" s="9" t="str">
        <f t="shared" si="2"/>
        <v>1905-07</v>
      </c>
      <c r="D139" s="10">
        <v>2012</v>
      </c>
      <c r="E139" s="8" t="s">
        <v>31</v>
      </c>
      <c r="F139" s="8" t="s">
        <v>82</v>
      </c>
      <c r="G139" s="8" t="s">
        <v>38</v>
      </c>
      <c r="H139" s="8" t="s">
        <v>39</v>
      </c>
      <c r="I139" s="10">
        <v>23.32</v>
      </c>
      <c r="J139" s="10">
        <v>155.88999999999999</v>
      </c>
      <c r="K139" s="10">
        <v>6684.9</v>
      </c>
      <c r="L139" s="8" t="s">
        <v>34</v>
      </c>
      <c r="M139" s="8" t="s">
        <v>47</v>
      </c>
      <c r="N139" s="10">
        <v>261.48</v>
      </c>
      <c r="O139" s="10">
        <v>450.61</v>
      </c>
      <c r="P139" s="8" t="s">
        <v>61</v>
      </c>
      <c r="Q139" s="10">
        <v>24.12</v>
      </c>
      <c r="R139" s="10">
        <f xml:space="preserve"> Table1_2[[#This Row],[Yield (Kg/Ha)]]/Table1_2[[#This Row],[Area (Hectares)]]</f>
        <v>286.65951972555746</v>
      </c>
      <c r="S139" s="10">
        <f>Table1_2[[#This Row],[Yield per Acre]]/Table1_2[[#This Row],[Yield (Kg/Ha)]]</f>
        <v>4.2881646655231566E-2</v>
      </c>
      <c r="T139" s="11">
        <f>Table1_2[[#This Row],[Yield per Acre]]/N139</f>
        <v>1.0962961592686149</v>
      </c>
    </row>
    <row r="140" spans="1:20" x14ac:dyDescent="0.3">
      <c r="A140" s="8" t="s">
        <v>204</v>
      </c>
      <c r="B140" s="9">
        <v>2018</v>
      </c>
      <c r="C140" s="9" t="str">
        <f t="shared" si="2"/>
        <v>1905-07</v>
      </c>
      <c r="D140" s="10">
        <v>2018</v>
      </c>
      <c r="E140" s="8" t="s">
        <v>59</v>
      </c>
      <c r="F140" s="8" t="s">
        <v>60</v>
      </c>
      <c r="G140" s="8" t="s">
        <v>19</v>
      </c>
      <c r="H140" s="8" t="s">
        <v>56</v>
      </c>
      <c r="I140" s="10">
        <v>59.59</v>
      </c>
      <c r="J140" s="10">
        <v>267.19</v>
      </c>
      <c r="K140" s="10">
        <v>4483.88</v>
      </c>
      <c r="L140" s="8" t="s">
        <v>40</v>
      </c>
      <c r="M140" s="8" t="s">
        <v>47</v>
      </c>
      <c r="N140" s="10">
        <v>214.68</v>
      </c>
      <c r="O140" s="10">
        <v>920.63</v>
      </c>
      <c r="P140" s="8" t="s">
        <v>61</v>
      </c>
      <c r="Q140" s="10">
        <v>25.06</v>
      </c>
      <c r="R140" s="10">
        <f xml:space="preserve"> Table1_2[[#This Row],[Yield (Kg/Ha)]]/Table1_2[[#This Row],[Area (Hectares)]]</f>
        <v>75.245510991777138</v>
      </c>
      <c r="S140" s="10">
        <f>Table1_2[[#This Row],[Yield per Acre]]/Table1_2[[#This Row],[Yield (Kg/Ha)]]</f>
        <v>1.6781339150864237E-2</v>
      </c>
      <c r="T140" s="11">
        <f>Table1_2[[#This Row],[Yield per Acre]]/N140</f>
        <v>0.35050079649607385</v>
      </c>
    </row>
    <row r="141" spans="1:20" x14ac:dyDescent="0.3">
      <c r="A141" s="8" t="s">
        <v>205</v>
      </c>
      <c r="B141" s="9">
        <v>2011</v>
      </c>
      <c r="C141" s="9" t="str">
        <f t="shared" si="2"/>
        <v>1905-07</v>
      </c>
      <c r="D141" s="10">
        <v>2011</v>
      </c>
      <c r="E141" s="8" t="s">
        <v>25</v>
      </c>
      <c r="F141" s="8" t="s">
        <v>26</v>
      </c>
      <c r="G141" s="8" t="s">
        <v>33</v>
      </c>
      <c r="H141" s="8" t="s">
        <v>39</v>
      </c>
      <c r="I141" s="10">
        <v>77.33</v>
      </c>
      <c r="J141" s="10">
        <v>200.13</v>
      </c>
      <c r="K141" s="10">
        <v>2587.94</v>
      </c>
      <c r="L141" s="8" t="s">
        <v>40</v>
      </c>
      <c r="M141" s="8" t="s">
        <v>49</v>
      </c>
      <c r="N141" s="10">
        <v>241.74</v>
      </c>
      <c r="O141" s="10">
        <v>616.59</v>
      </c>
      <c r="P141" s="8" t="s">
        <v>23</v>
      </c>
      <c r="Q141" s="10">
        <v>27.47</v>
      </c>
      <c r="R141" s="10">
        <f xml:space="preserve"> Table1_2[[#This Row],[Yield (Kg/Ha)]]/Table1_2[[#This Row],[Area (Hectares)]]</f>
        <v>33.466183887236518</v>
      </c>
      <c r="S141" s="10">
        <f>Table1_2[[#This Row],[Yield per Acre]]/Table1_2[[#This Row],[Yield (Kg/Ha)]]</f>
        <v>1.29315918789603E-2</v>
      </c>
      <c r="T141" s="11">
        <f>Table1_2[[#This Row],[Yield per Acre]]/N141</f>
        <v>0.1384387519121226</v>
      </c>
    </row>
    <row r="142" spans="1:20" x14ac:dyDescent="0.3">
      <c r="A142" s="8" t="s">
        <v>206</v>
      </c>
      <c r="B142" s="9">
        <v>2017</v>
      </c>
      <c r="C142" s="9" t="str">
        <f t="shared" si="2"/>
        <v>1905-07</v>
      </c>
      <c r="D142" s="10">
        <v>2017</v>
      </c>
      <c r="E142" s="8" t="s">
        <v>17</v>
      </c>
      <c r="F142" s="8" t="s">
        <v>72</v>
      </c>
      <c r="G142" s="8" t="s">
        <v>33</v>
      </c>
      <c r="H142" s="8" t="s">
        <v>39</v>
      </c>
      <c r="I142" s="10">
        <v>41.2</v>
      </c>
      <c r="J142" s="10">
        <v>153.32</v>
      </c>
      <c r="K142" s="10">
        <v>3721.26</v>
      </c>
      <c r="L142" s="8" t="s">
        <v>21</v>
      </c>
      <c r="M142" s="8" t="s">
        <v>49</v>
      </c>
      <c r="N142" s="10">
        <v>89.52</v>
      </c>
      <c r="O142" s="10">
        <v>615.62</v>
      </c>
      <c r="P142" s="8" t="s">
        <v>52</v>
      </c>
      <c r="Q142" s="10">
        <v>23.06</v>
      </c>
      <c r="R142" s="10">
        <f xml:space="preserve"> Table1_2[[#This Row],[Yield (Kg/Ha)]]/Table1_2[[#This Row],[Area (Hectares)]]</f>
        <v>90.321844660194174</v>
      </c>
      <c r="S142" s="10">
        <f>Table1_2[[#This Row],[Yield per Acre]]/Table1_2[[#This Row],[Yield (Kg/Ha)]]</f>
        <v>2.4271844660194174E-2</v>
      </c>
      <c r="T142" s="11">
        <f>Table1_2[[#This Row],[Yield per Acre]]/N142</f>
        <v>1.0089571566152165</v>
      </c>
    </row>
    <row r="143" spans="1:20" x14ac:dyDescent="0.3">
      <c r="A143" s="8" t="s">
        <v>207</v>
      </c>
      <c r="B143" s="9">
        <v>2015</v>
      </c>
      <c r="C143" s="9" t="str">
        <f t="shared" si="2"/>
        <v>1905-07</v>
      </c>
      <c r="D143" s="10">
        <v>2015</v>
      </c>
      <c r="E143" s="8" t="s">
        <v>44</v>
      </c>
      <c r="F143" s="8" t="s">
        <v>67</v>
      </c>
      <c r="G143" s="8" t="s">
        <v>19</v>
      </c>
      <c r="H143" s="8" t="s">
        <v>20</v>
      </c>
      <c r="I143" s="10">
        <v>97.56</v>
      </c>
      <c r="J143" s="10">
        <v>174.11</v>
      </c>
      <c r="K143" s="10">
        <v>1784.6</v>
      </c>
      <c r="L143" s="8" t="s">
        <v>34</v>
      </c>
      <c r="M143" s="8" t="s">
        <v>29</v>
      </c>
      <c r="N143" s="10">
        <v>178.75</v>
      </c>
      <c r="O143" s="10">
        <v>306.18</v>
      </c>
      <c r="P143" s="8" t="s">
        <v>42</v>
      </c>
      <c r="Q143" s="10">
        <v>27</v>
      </c>
      <c r="R143" s="10">
        <f xml:space="preserve"> Table1_2[[#This Row],[Yield (Kg/Ha)]]/Table1_2[[#This Row],[Area (Hectares)]]</f>
        <v>18.292332923329234</v>
      </c>
      <c r="S143" s="10">
        <f>Table1_2[[#This Row],[Yield per Acre]]/Table1_2[[#This Row],[Yield (Kg/Ha)]]</f>
        <v>1.025010250102501E-2</v>
      </c>
      <c r="T143" s="11">
        <f>Table1_2[[#This Row],[Yield per Acre]]/N143</f>
        <v>0.10233472964100271</v>
      </c>
    </row>
    <row r="144" spans="1:20" x14ac:dyDescent="0.3">
      <c r="A144" s="8" t="s">
        <v>208</v>
      </c>
      <c r="B144" s="9">
        <v>2011</v>
      </c>
      <c r="C144" s="9" t="str">
        <f t="shared" si="2"/>
        <v>1905-07</v>
      </c>
      <c r="D144" s="10">
        <v>2011</v>
      </c>
      <c r="E144" s="8" t="s">
        <v>103</v>
      </c>
      <c r="F144" s="8" t="s">
        <v>104</v>
      </c>
      <c r="G144" s="8" t="s">
        <v>33</v>
      </c>
      <c r="H144" s="8" t="s">
        <v>20</v>
      </c>
      <c r="I144" s="10">
        <v>94.59</v>
      </c>
      <c r="J144" s="10">
        <v>585.04</v>
      </c>
      <c r="K144" s="10">
        <v>6184.98</v>
      </c>
      <c r="L144" s="8" t="s">
        <v>28</v>
      </c>
      <c r="M144" s="8" t="s">
        <v>49</v>
      </c>
      <c r="N144" s="10">
        <v>112.07</v>
      </c>
      <c r="O144" s="10">
        <v>1065.31</v>
      </c>
      <c r="P144" s="8" t="s">
        <v>42</v>
      </c>
      <c r="Q144" s="10">
        <v>32.200000000000003</v>
      </c>
      <c r="R144" s="10">
        <f xml:space="preserve"> Table1_2[[#This Row],[Yield (Kg/Ha)]]/Table1_2[[#This Row],[Area (Hectares)]]</f>
        <v>65.387250237868685</v>
      </c>
      <c r="S144" s="10">
        <f>Table1_2[[#This Row],[Yield per Acre]]/Table1_2[[#This Row],[Yield (Kg/Ha)]]</f>
        <v>1.0571942065757478E-2</v>
      </c>
      <c r="T144" s="11">
        <f>Table1_2[[#This Row],[Yield per Acre]]/N144</f>
        <v>0.58345007796795478</v>
      </c>
    </row>
    <row r="145" spans="1:20" x14ac:dyDescent="0.3">
      <c r="A145" s="8" t="s">
        <v>209</v>
      </c>
      <c r="B145" s="9">
        <v>2017</v>
      </c>
      <c r="C145" s="9" t="str">
        <f t="shared" si="2"/>
        <v>1905-07</v>
      </c>
      <c r="D145" s="10">
        <v>2017</v>
      </c>
      <c r="E145" s="8" t="s">
        <v>103</v>
      </c>
      <c r="F145" s="8" t="s">
        <v>104</v>
      </c>
      <c r="G145" s="8" t="s">
        <v>19</v>
      </c>
      <c r="H145" s="8" t="s">
        <v>46</v>
      </c>
      <c r="I145" s="10">
        <v>50.38</v>
      </c>
      <c r="J145" s="10">
        <v>143.65</v>
      </c>
      <c r="K145" s="10">
        <v>2851.24</v>
      </c>
      <c r="L145" s="8" t="s">
        <v>21</v>
      </c>
      <c r="M145" s="8" t="s">
        <v>47</v>
      </c>
      <c r="N145" s="10">
        <v>72.510000000000005</v>
      </c>
      <c r="O145" s="10">
        <v>593.24</v>
      </c>
      <c r="P145" s="8" t="s">
        <v>52</v>
      </c>
      <c r="Q145" s="10">
        <v>34.5</v>
      </c>
      <c r="R145" s="10">
        <f xml:space="preserve"> Table1_2[[#This Row],[Yield (Kg/Ha)]]/Table1_2[[#This Row],[Area (Hectares)]]</f>
        <v>56.594680428741555</v>
      </c>
      <c r="S145" s="10">
        <f>Table1_2[[#This Row],[Yield per Acre]]/Table1_2[[#This Row],[Yield (Kg/Ha)]]</f>
        <v>1.984914648670107E-2</v>
      </c>
      <c r="T145" s="11">
        <f>Table1_2[[#This Row],[Yield per Acre]]/N145</f>
        <v>0.78050862541361954</v>
      </c>
    </row>
    <row r="146" spans="1:20" x14ac:dyDescent="0.3">
      <c r="A146" s="8" t="s">
        <v>210</v>
      </c>
      <c r="B146" s="9">
        <v>2011</v>
      </c>
      <c r="C146" s="9" t="str">
        <f t="shared" si="2"/>
        <v>1905-07</v>
      </c>
      <c r="D146" s="10">
        <v>2010</v>
      </c>
      <c r="E146" s="8" t="s">
        <v>31</v>
      </c>
      <c r="F146" s="8" t="s">
        <v>82</v>
      </c>
      <c r="G146" s="8" t="s">
        <v>38</v>
      </c>
      <c r="H146" s="8" t="s">
        <v>46</v>
      </c>
      <c r="I146" s="10">
        <v>60.15</v>
      </c>
      <c r="J146" s="10">
        <v>364.33</v>
      </c>
      <c r="K146" s="10">
        <v>6057.1</v>
      </c>
      <c r="L146" s="8" t="s">
        <v>28</v>
      </c>
      <c r="M146" s="8" t="s">
        <v>49</v>
      </c>
      <c r="N146" s="10">
        <v>121.44</v>
      </c>
      <c r="O146" s="10">
        <v>208.18</v>
      </c>
      <c r="P146" s="8" t="s">
        <v>23</v>
      </c>
      <c r="Q146" s="10">
        <v>26.46</v>
      </c>
      <c r="R146" s="10">
        <f xml:space="preserve"> Table1_2[[#This Row],[Yield (Kg/Ha)]]/Table1_2[[#This Row],[Area (Hectares)]]</f>
        <v>100.69991687448048</v>
      </c>
      <c r="S146" s="10">
        <f>Table1_2[[#This Row],[Yield per Acre]]/Table1_2[[#This Row],[Yield (Kg/Ha)]]</f>
        <v>1.6625103906899419E-2</v>
      </c>
      <c r="T146" s="11">
        <f>Table1_2[[#This Row],[Yield per Acre]]/N146</f>
        <v>0.82921538928261262</v>
      </c>
    </row>
    <row r="147" spans="1:20" x14ac:dyDescent="0.3">
      <c r="A147" s="8" t="s">
        <v>211</v>
      </c>
      <c r="B147" s="9">
        <v>2015</v>
      </c>
      <c r="C147" s="9" t="str">
        <f t="shared" si="2"/>
        <v>1905-07</v>
      </c>
      <c r="D147" s="10">
        <v>2015</v>
      </c>
      <c r="E147" s="8" t="s">
        <v>44</v>
      </c>
      <c r="F147" s="8" t="s">
        <v>99</v>
      </c>
      <c r="G147" s="8" t="s">
        <v>33</v>
      </c>
      <c r="H147" s="8" t="s">
        <v>46</v>
      </c>
      <c r="I147" s="10">
        <v>6.06</v>
      </c>
      <c r="J147" s="10">
        <v>26.49</v>
      </c>
      <c r="K147" s="10">
        <v>4370.8999999999996</v>
      </c>
      <c r="L147" s="8" t="s">
        <v>34</v>
      </c>
      <c r="M147" s="8" t="s">
        <v>49</v>
      </c>
      <c r="N147" s="10">
        <v>188.31</v>
      </c>
      <c r="O147" s="10">
        <v>273.52999999999997</v>
      </c>
      <c r="P147" s="8" t="s">
        <v>61</v>
      </c>
      <c r="Q147" s="10">
        <v>26.76</v>
      </c>
      <c r="R147" s="10">
        <f xml:space="preserve"> Table1_2[[#This Row],[Yield (Kg/Ha)]]/Table1_2[[#This Row],[Area (Hectares)]]</f>
        <v>721.27062706270624</v>
      </c>
      <c r="S147" s="10">
        <f>Table1_2[[#This Row],[Yield per Acre]]/Table1_2[[#This Row],[Yield (Kg/Ha)]]</f>
        <v>0.16501650165016502</v>
      </c>
      <c r="T147" s="11">
        <f>Table1_2[[#This Row],[Yield per Acre]]/N147</f>
        <v>3.830230083706156</v>
      </c>
    </row>
    <row r="148" spans="1:20" x14ac:dyDescent="0.3">
      <c r="A148" s="8" t="s">
        <v>212</v>
      </c>
      <c r="B148" s="9">
        <v>2020</v>
      </c>
      <c r="C148" s="9" t="str">
        <f t="shared" si="2"/>
        <v>1905-07</v>
      </c>
      <c r="D148" s="10">
        <v>2020</v>
      </c>
      <c r="E148" s="8" t="s">
        <v>44</v>
      </c>
      <c r="F148" s="8" t="s">
        <v>67</v>
      </c>
      <c r="G148" s="8" t="s">
        <v>19</v>
      </c>
      <c r="H148" s="8" t="s">
        <v>64</v>
      </c>
      <c r="I148" s="10">
        <v>13.74</v>
      </c>
      <c r="J148" s="10">
        <v>21.71</v>
      </c>
      <c r="K148" s="10">
        <v>1580.09</v>
      </c>
      <c r="L148" s="8" t="s">
        <v>34</v>
      </c>
      <c r="M148" s="8" t="s">
        <v>47</v>
      </c>
      <c r="N148" s="10">
        <v>248.72</v>
      </c>
      <c r="O148" s="10">
        <v>539.09</v>
      </c>
      <c r="P148" s="8" t="s">
        <v>70</v>
      </c>
      <c r="Q148" s="10">
        <v>31.32</v>
      </c>
      <c r="R148" s="10">
        <f xml:space="preserve"> Table1_2[[#This Row],[Yield (Kg/Ha)]]/Table1_2[[#This Row],[Area (Hectares)]]</f>
        <v>114.99927219796214</v>
      </c>
      <c r="S148" s="10">
        <f>Table1_2[[#This Row],[Yield per Acre]]/Table1_2[[#This Row],[Yield (Kg/Ha)]]</f>
        <v>7.2780203784570591E-2</v>
      </c>
      <c r="T148" s="11">
        <f>Table1_2[[#This Row],[Yield per Acre]]/N148</f>
        <v>0.46236439449164579</v>
      </c>
    </row>
    <row r="149" spans="1:20" x14ac:dyDescent="0.3">
      <c r="A149" s="8" t="s">
        <v>213</v>
      </c>
      <c r="B149" s="9">
        <v>2018</v>
      </c>
      <c r="C149" s="9" t="str">
        <f t="shared" si="2"/>
        <v>1905-07</v>
      </c>
      <c r="D149" s="10">
        <v>2018</v>
      </c>
      <c r="E149" s="8" t="s">
        <v>59</v>
      </c>
      <c r="F149" s="8" t="s">
        <v>63</v>
      </c>
      <c r="G149" s="8" t="s">
        <v>33</v>
      </c>
      <c r="H149" s="8" t="s">
        <v>64</v>
      </c>
      <c r="I149" s="10">
        <v>4.8499999999999996</v>
      </c>
      <c r="J149" s="10">
        <v>25.62</v>
      </c>
      <c r="K149" s="10">
        <v>5281.55</v>
      </c>
      <c r="L149" s="8" t="s">
        <v>28</v>
      </c>
      <c r="M149" s="8" t="s">
        <v>41</v>
      </c>
      <c r="N149" s="10">
        <v>179.83</v>
      </c>
      <c r="O149" s="10">
        <v>348.94</v>
      </c>
      <c r="P149" s="8" t="s">
        <v>61</v>
      </c>
      <c r="Q149" s="10">
        <v>22.1</v>
      </c>
      <c r="R149" s="10">
        <f xml:space="preserve"> Table1_2[[#This Row],[Yield (Kg/Ha)]]/Table1_2[[#This Row],[Area (Hectares)]]</f>
        <v>1088.9793814432992</v>
      </c>
      <c r="S149" s="10">
        <f>Table1_2[[#This Row],[Yield per Acre]]/Table1_2[[#This Row],[Yield (Kg/Ha)]]</f>
        <v>0.20618556701030932</v>
      </c>
      <c r="T149" s="11">
        <f>Table1_2[[#This Row],[Yield per Acre]]/N149</f>
        <v>6.0556046346176897</v>
      </c>
    </row>
    <row r="150" spans="1:20" x14ac:dyDescent="0.3">
      <c r="A150" s="8" t="s">
        <v>214</v>
      </c>
      <c r="B150" s="9">
        <v>2021</v>
      </c>
      <c r="C150" s="9" t="str">
        <f t="shared" si="2"/>
        <v>1905-07</v>
      </c>
      <c r="D150" s="10">
        <v>2021</v>
      </c>
      <c r="E150" s="8" t="s">
        <v>36</v>
      </c>
      <c r="F150" s="8" t="s">
        <v>77</v>
      </c>
      <c r="G150" s="8" t="s">
        <v>38</v>
      </c>
      <c r="H150" s="8" t="s">
        <v>27</v>
      </c>
      <c r="I150" s="10">
        <v>34.299999999999997</v>
      </c>
      <c r="J150" s="10">
        <v>204.76</v>
      </c>
      <c r="K150" s="10">
        <v>5969.74</v>
      </c>
      <c r="L150" s="8" t="s">
        <v>28</v>
      </c>
      <c r="M150" s="8" t="s">
        <v>29</v>
      </c>
      <c r="N150" s="10">
        <v>227.18</v>
      </c>
      <c r="O150" s="10">
        <v>499.79</v>
      </c>
      <c r="P150" s="8" t="s">
        <v>23</v>
      </c>
      <c r="Q150" s="10">
        <v>25.53</v>
      </c>
      <c r="R150" s="10">
        <f xml:space="preserve"> Table1_2[[#This Row],[Yield (Kg/Ha)]]/Table1_2[[#This Row],[Area (Hectares)]]</f>
        <v>174.04489795918369</v>
      </c>
      <c r="S150" s="10">
        <f>Table1_2[[#This Row],[Yield per Acre]]/Table1_2[[#This Row],[Yield (Kg/Ha)]]</f>
        <v>2.915451895043732E-2</v>
      </c>
      <c r="T150" s="11">
        <f>Table1_2[[#This Row],[Yield per Acre]]/N150</f>
        <v>0.76611012395098022</v>
      </c>
    </row>
    <row r="151" spans="1:20" x14ac:dyDescent="0.3">
      <c r="A151" s="8" t="s">
        <v>215</v>
      </c>
      <c r="B151" s="9">
        <v>2022</v>
      </c>
      <c r="C151" s="9" t="str">
        <f t="shared" si="2"/>
        <v>1905-07</v>
      </c>
      <c r="D151" s="10">
        <v>2022</v>
      </c>
      <c r="E151" s="8" t="s">
        <v>59</v>
      </c>
      <c r="F151" s="8" t="s">
        <v>63</v>
      </c>
      <c r="G151" s="8" t="s">
        <v>19</v>
      </c>
      <c r="H151" s="8" t="s">
        <v>39</v>
      </c>
      <c r="I151" s="10">
        <v>63.3</v>
      </c>
      <c r="J151" s="10">
        <v>290.01</v>
      </c>
      <c r="K151" s="10">
        <v>4581.46</v>
      </c>
      <c r="L151" s="8" t="s">
        <v>34</v>
      </c>
      <c r="M151" s="8" t="s">
        <v>22</v>
      </c>
      <c r="N151" s="10">
        <v>291.77</v>
      </c>
      <c r="O151" s="10">
        <v>982.9</v>
      </c>
      <c r="P151" s="8" t="s">
        <v>61</v>
      </c>
      <c r="Q151" s="10">
        <v>28.66</v>
      </c>
      <c r="R151" s="10">
        <f xml:space="preserve"> Table1_2[[#This Row],[Yield (Kg/Ha)]]/Table1_2[[#This Row],[Area (Hectares)]]</f>
        <v>72.376935229067939</v>
      </c>
      <c r="S151" s="10">
        <f>Table1_2[[#This Row],[Yield per Acre]]/Table1_2[[#This Row],[Yield (Kg/Ha)]]</f>
        <v>1.5797788309636653E-2</v>
      </c>
      <c r="T151" s="11">
        <f>Table1_2[[#This Row],[Yield per Acre]]/N151</f>
        <v>0.24806160753013656</v>
      </c>
    </row>
    <row r="152" spans="1:20" x14ac:dyDescent="0.3">
      <c r="A152" s="8" t="s">
        <v>216</v>
      </c>
      <c r="B152" s="9">
        <v>2012</v>
      </c>
      <c r="C152" s="9" t="str">
        <f t="shared" si="2"/>
        <v>1905-07</v>
      </c>
      <c r="D152" s="10">
        <v>2012</v>
      </c>
      <c r="E152" s="8" t="s">
        <v>59</v>
      </c>
      <c r="F152" s="8" t="s">
        <v>63</v>
      </c>
      <c r="G152" s="8" t="s">
        <v>19</v>
      </c>
      <c r="H152" s="8" t="s">
        <v>39</v>
      </c>
      <c r="I152" s="10">
        <v>72.400000000000006</v>
      </c>
      <c r="J152" s="10">
        <v>408.89</v>
      </c>
      <c r="K152" s="10">
        <v>5647.64</v>
      </c>
      <c r="L152" s="8" t="s">
        <v>28</v>
      </c>
      <c r="M152" s="8" t="s">
        <v>22</v>
      </c>
      <c r="N152" s="10">
        <v>86.94</v>
      </c>
      <c r="O152" s="10">
        <v>880.73</v>
      </c>
      <c r="P152" s="8" t="s">
        <v>23</v>
      </c>
      <c r="Q152" s="10">
        <v>28.59</v>
      </c>
      <c r="R152" s="10">
        <f xml:space="preserve"> Table1_2[[#This Row],[Yield (Kg/Ha)]]/Table1_2[[#This Row],[Area (Hectares)]]</f>
        <v>78.006077348066299</v>
      </c>
      <c r="S152" s="10">
        <f>Table1_2[[#This Row],[Yield per Acre]]/Table1_2[[#This Row],[Yield (Kg/Ha)]]</f>
        <v>1.3812154696132596E-2</v>
      </c>
      <c r="T152" s="11">
        <f>Table1_2[[#This Row],[Yield per Acre]]/N152</f>
        <v>0.89724036517214512</v>
      </c>
    </row>
    <row r="153" spans="1:20" x14ac:dyDescent="0.3">
      <c r="A153" s="8" t="s">
        <v>217</v>
      </c>
      <c r="B153" s="9">
        <v>2017</v>
      </c>
      <c r="C153" s="9" t="str">
        <f t="shared" si="2"/>
        <v>1905-07</v>
      </c>
      <c r="D153" s="10">
        <v>2017</v>
      </c>
      <c r="E153" s="8" t="s">
        <v>103</v>
      </c>
      <c r="F153" s="8" t="s">
        <v>104</v>
      </c>
      <c r="G153" s="8" t="s">
        <v>38</v>
      </c>
      <c r="H153" s="8" t="s">
        <v>46</v>
      </c>
      <c r="I153" s="10">
        <v>15.99</v>
      </c>
      <c r="J153" s="10">
        <v>82.24</v>
      </c>
      <c r="K153" s="10">
        <v>5143</v>
      </c>
      <c r="L153" s="8" t="s">
        <v>28</v>
      </c>
      <c r="M153" s="8" t="s">
        <v>41</v>
      </c>
      <c r="N153" s="10">
        <v>175.45</v>
      </c>
      <c r="O153" s="10">
        <v>811.48</v>
      </c>
      <c r="P153" s="8" t="s">
        <v>52</v>
      </c>
      <c r="Q153" s="10">
        <v>33.090000000000003</v>
      </c>
      <c r="R153" s="10">
        <f xml:space="preserve"> Table1_2[[#This Row],[Yield (Kg/Ha)]]/Table1_2[[#This Row],[Area (Hectares)]]</f>
        <v>321.63852407754848</v>
      </c>
      <c r="S153" s="10">
        <f>Table1_2[[#This Row],[Yield per Acre]]/Table1_2[[#This Row],[Yield (Kg/Ha)]]</f>
        <v>6.2539086929330828E-2</v>
      </c>
      <c r="T153" s="11">
        <f>Table1_2[[#This Row],[Yield per Acre]]/N153</f>
        <v>1.8332204279142121</v>
      </c>
    </row>
    <row r="154" spans="1:20" x14ac:dyDescent="0.3">
      <c r="A154" s="8" t="s">
        <v>218</v>
      </c>
      <c r="B154" s="9">
        <v>2019</v>
      </c>
      <c r="C154" s="9" t="str">
        <f t="shared" si="2"/>
        <v>1905-07</v>
      </c>
      <c r="D154" s="10">
        <v>2018</v>
      </c>
      <c r="E154" s="8" t="s">
        <v>59</v>
      </c>
      <c r="F154" s="8" t="s">
        <v>60</v>
      </c>
      <c r="G154" s="8" t="s">
        <v>38</v>
      </c>
      <c r="H154" s="8" t="s">
        <v>39</v>
      </c>
      <c r="I154" s="10">
        <v>48.36</v>
      </c>
      <c r="J154" s="10">
        <v>157.69999999999999</v>
      </c>
      <c r="K154" s="10">
        <v>3260.95</v>
      </c>
      <c r="L154" s="8" t="s">
        <v>40</v>
      </c>
      <c r="M154" s="8" t="s">
        <v>47</v>
      </c>
      <c r="N154" s="10">
        <v>164.92</v>
      </c>
      <c r="O154" s="10">
        <v>733.13</v>
      </c>
      <c r="P154" s="8" t="s">
        <v>61</v>
      </c>
      <c r="Q154" s="10">
        <v>25.31</v>
      </c>
      <c r="R154" s="10">
        <f xml:space="preserve"> Table1_2[[#This Row],[Yield (Kg/Ha)]]/Table1_2[[#This Row],[Area (Hectares)]]</f>
        <v>67.430727874276258</v>
      </c>
      <c r="S154" s="10">
        <f>Table1_2[[#This Row],[Yield per Acre]]/Table1_2[[#This Row],[Yield (Kg/Ha)]]</f>
        <v>2.0678246484698098E-2</v>
      </c>
      <c r="T154" s="11">
        <f>Table1_2[[#This Row],[Yield per Acre]]/N154</f>
        <v>0.40886931769510226</v>
      </c>
    </row>
    <row r="155" spans="1:20" x14ac:dyDescent="0.3">
      <c r="A155" s="8" t="s">
        <v>219</v>
      </c>
      <c r="B155" s="9">
        <v>2014</v>
      </c>
      <c r="C155" s="9" t="str">
        <f t="shared" si="2"/>
        <v>1905-07</v>
      </c>
      <c r="D155" s="10">
        <v>2013</v>
      </c>
      <c r="E155" s="8" t="s">
        <v>36</v>
      </c>
      <c r="F155" s="8" t="s">
        <v>37</v>
      </c>
      <c r="G155" s="8" t="s">
        <v>38</v>
      </c>
      <c r="H155" s="8" t="s">
        <v>27</v>
      </c>
      <c r="I155" s="10">
        <v>30.55</v>
      </c>
      <c r="J155" s="10">
        <v>203.12</v>
      </c>
      <c r="K155" s="10">
        <v>6648.91</v>
      </c>
      <c r="L155" s="8" t="s">
        <v>34</v>
      </c>
      <c r="M155" s="8" t="s">
        <v>47</v>
      </c>
      <c r="N155" s="10">
        <v>242.79</v>
      </c>
      <c r="O155" s="10">
        <v>904.9</v>
      </c>
      <c r="P155" s="8" t="s">
        <v>52</v>
      </c>
      <c r="Q155" s="10">
        <v>24.76</v>
      </c>
      <c r="R155" s="10">
        <f xml:space="preserve"> Table1_2[[#This Row],[Yield (Kg/Ha)]]/Table1_2[[#This Row],[Area (Hectares)]]</f>
        <v>217.64026186579378</v>
      </c>
      <c r="S155" s="10">
        <f>Table1_2[[#This Row],[Yield per Acre]]/Table1_2[[#This Row],[Yield (Kg/Ha)]]</f>
        <v>3.2733224222585927E-2</v>
      </c>
      <c r="T155" s="11">
        <f>Table1_2[[#This Row],[Yield per Acre]]/N155</f>
        <v>0.8964136161530285</v>
      </c>
    </row>
    <row r="156" spans="1:20" x14ac:dyDescent="0.3">
      <c r="A156" s="8" t="s">
        <v>220</v>
      </c>
      <c r="B156" s="9">
        <v>2015</v>
      </c>
      <c r="C156" s="9" t="str">
        <f t="shared" si="2"/>
        <v>1905-07</v>
      </c>
      <c r="D156" s="10">
        <v>2014</v>
      </c>
      <c r="E156" s="8" t="s">
        <v>44</v>
      </c>
      <c r="F156" s="8" t="s">
        <v>67</v>
      </c>
      <c r="G156" s="8" t="s">
        <v>38</v>
      </c>
      <c r="H156" s="8" t="s">
        <v>64</v>
      </c>
      <c r="I156" s="10">
        <v>57.77</v>
      </c>
      <c r="J156" s="10">
        <v>246.05</v>
      </c>
      <c r="K156" s="10">
        <v>4259.1499999999996</v>
      </c>
      <c r="L156" s="8" t="s">
        <v>28</v>
      </c>
      <c r="M156" s="8" t="s">
        <v>22</v>
      </c>
      <c r="N156" s="10">
        <v>254.59</v>
      </c>
      <c r="O156" s="10">
        <v>1154.6099999999999</v>
      </c>
      <c r="P156" s="8" t="s">
        <v>42</v>
      </c>
      <c r="Q156" s="10">
        <v>24.36</v>
      </c>
      <c r="R156" s="10">
        <f xml:space="preserve"> Table1_2[[#This Row],[Yield (Kg/Ha)]]/Table1_2[[#This Row],[Area (Hectares)]]</f>
        <v>73.725982343777034</v>
      </c>
      <c r="S156" s="10">
        <f>Table1_2[[#This Row],[Yield per Acre]]/Table1_2[[#This Row],[Yield (Kg/Ha)]]</f>
        <v>1.7310022503029251E-2</v>
      </c>
      <c r="T156" s="11">
        <f>Table1_2[[#This Row],[Yield per Acre]]/N156</f>
        <v>0.28958711003486798</v>
      </c>
    </row>
    <row r="157" spans="1:20" x14ac:dyDescent="0.3">
      <c r="A157" s="8" t="s">
        <v>221</v>
      </c>
      <c r="B157" s="9">
        <v>2021</v>
      </c>
      <c r="C157" s="9" t="str">
        <f t="shared" si="2"/>
        <v>1905-07</v>
      </c>
      <c r="D157" s="10">
        <v>2020</v>
      </c>
      <c r="E157" s="8" t="s">
        <v>31</v>
      </c>
      <c r="F157" s="8" t="s">
        <v>32</v>
      </c>
      <c r="G157" s="8" t="s">
        <v>38</v>
      </c>
      <c r="H157" s="8" t="s">
        <v>39</v>
      </c>
      <c r="I157" s="10">
        <v>48.43</v>
      </c>
      <c r="J157" s="10">
        <v>107.15</v>
      </c>
      <c r="K157" s="10">
        <v>2212.41</v>
      </c>
      <c r="L157" s="8" t="s">
        <v>34</v>
      </c>
      <c r="M157" s="8" t="s">
        <v>41</v>
      </c>
      <c r="N157" s="10">
        <v>283.26</v>
      </c>
      <c r="O157" s="10">
        <v>896.17</v>
      </c>
      <c r="P157" s="8" t="s">
        <v>42</v>
      </c>
      <c r="Q157" s="10">
        <v>21.64</v>
      </c>
      <c r="R157" s="10">
        <f xml:space="preserve"> Table1_2[[#This Row],[Yield (Kg/Ha)]]/Table1_2[[#This Row],[Area (Hectares)]]</f>
        <v>45.682634730538922</v>
      </c>
      <c r="S157" s="10">
        <f>Table1_2[[#This Row],[Yield per Acre]]/Table1_2[[#This Row],[Yield (Kg/Ha)]]</f>
        <v>2.064835845550279E-2</v>
      </c>
      <c r="T157" s="11">
        <f>Table1_2[[#This Row],[Yield per Acre]]/N157</f>
        <v>0.16127457011416693</v>
      </c>
    </row>
    <row r="158" spans="1:20" x14ac:dyDescent="0.3">
      <c r="A158" s="8" t="s">
        <v>222</v>
      </c>
      <c r="B158" s="9">
        <v>2020</v>
      </c>
      <c r="C158" s="9" t="str">
        <f t="shared" si="2"/>
        <v>1905-07</v>
      </c>
      <c r="D158" s="10">
        <v>2020</v>
      </c>
      <c r="E158" s="8" t="s">
        <v>103</v>
      </c>
      <c r="F158" s="8" t="s">
        <v>104</v>
      </c>
      <c r="G158" s="8" t="s">
        <v>19</v>
      </c>
      <c r="H158" s="8" t="s">
        <v>56</v>
      </c>
      <c r="I158" s="10">
        <v>64.16</v>
      </c>
      <c r="J158" s="10">
        <v>84.37</v>
      </c>
      <c r="K158" s="10">
        <v>1314.95</v>
      </c>
      <c r="L158" s="8" t="s">
        <v>28</v>
      </c>
      <c r="M158" s="8" t="s">
        <v>41</v>
      </c>
      <c r="N158" s="10">
        <v>132.57</v>
      </c>
      <c r="O158" s="10">
        <v>672.4</v>
      </c>
      <c r="P158" s="8" t="s">
        <v>42</v>
      </c>
      <c r="Q158" s="10">
        <v>20.079999999999998</v>
      </c>
      <c r="R158" s="10">
        <f xml:space="preserve"> Table1_2[[#This Row],[Yield (Kg/Ha)]]/Table1_2[[#This Row],[Area (Hectares)]]</f>
        <v>20.494856608478806</v>
      </c>
      <c r="S158" s="10">
        <f>Table1_2[[#This Row],[Yield per Acre]]/Table1_2[[#This Row],[Yield (Kg/Ha)]]</f>
        <v>1.5586034912718205E-2</v>
      </c>
      <c r="T158" s="11">
        <f>Table1_2[[#This Row],[Yield per Acre]]/N158</f>
        <v>0.15459648946578267</v>
      </c>
    </row>
    <row r="159" spans="1:20" x14ac:dyDescent="0.3">
      <c r="A159" s="8" t="s">
        <v>223</v>
      </c>
      <c r="B159" s="9">
        <v>2017</v>
      </c>
      <c r="C159" s="9" t="str">
        <f t="shared" si="2"/>
        <v>1905-07</v>
      </c>
      <c r="D159" s="10">
        <v>2017</v>
      </c>
      <c r="E159" s="8" t="s">
        <v>36</v>
      </c>
      <c r="F159" s="8" t="s">
        <v>77</v>
      </c>
      <c r="G159" s="8" t="s">
        <v>38</v>
      </c>
      <c r="H159" s="8" t="s">
        <v>39</v>
      </c>
      <c r="I159" s="10">
        <v>20.75</v>
      </c>
      <c r="J159" s="10">
        <v>140.76</v>
      </c>
      <c r="K159" s="10">
        <v>6783.48</v>
      </c>
      <c r="L159" s="8" t="s">
        <v>34</v>
      </c>
      <c r="M159" s="8" t="s">
        <v>47</v>
      </c>
      <c r="N159" s="10">
        <v>121.35</v>
      </c>
      <c r="O159" s="10">
        <v>259.16000000000003</v>
      </c>
      <c r="P159" s="8" t="s">
        <v>23</v>
      </c>
      <c r="Q159" s="10">
        <v>29.78</v>
      </c>
      <c r="R159" s="10">
        <f xml:space="preserve"> Table1_2[[#This Row],[Yield (Kg/Ha)]]/Table1_2[[#This Row],[Area (Hectares)]]</f>
        <v>326.9146987951807</v>
      </c>
      <c r="S159" s="10">
        <f>Table1_2[[#This Row],[Yield per Acre]]/Table1_2[[#This Row],[Yield (Kg/Ha)]]</f>
        <v>4.8192771084337352E-2</v>
      </c>
      <c r="T159" s="11">
        <f>Table1_2[[#This Row],[Yield per Acre]]/N159</f>
        <v>2.6939818606937016</v>
      </c>
    </row>
    <row r="160" spans="1:20" x14ac:dyDescent="0.3">
      <c r="A160" s="8" t="s">
        <v>224</v>
      </c>
      <c r="B160" s="9">
        <v>2010</v>
      </c>
      <c r="C160" s="9" t="str">
        <f t="shared" si="2"/>
        <v>1905-07</v>
      </c>
      <c r="D160" s="10">
        <v>2010</v>
      </c>
      <c r="E160" s="8" t="s">
        <v>17</v>
      </c>
      <c r="F160" s="8" t="s">
        <v>54</v>
      </c>
      <c r="G160" s="8" t="s">
        <v>33</v>
      </c>
      <c r="H160" s="8" t="s">
        <v>46</v>
      </c>
      <c r="I160" s="10">
        <v>88.34</v>
      </c>
      <c r="J160" s="10">
        <v>181.51</v>
      </c>
      <c r="K160" s="10">
        <v>2054.73</v>
      </c>
      <c r="L160" s="8" t="s">
        <v>21</v>
      </c>
      <c r="M160" s="8" t="s">
        <v>22</v>
      </c>
      <c r="N160" s="10">
        <v>299.29000000000002</v>
      </c>
      <c r="O160" s="10">
        <v>596.99</v>
      </c>
      <c r="P160" s="8" t="s">
        <v>52</v>
      </c>
      <c r="Q160" s="10">
        <v>22.79</v>
      </c>
      <c r="R160" s="10">
        <f xml:space="preserve"> Table1_2[[#This Row],[Yield (Kg/Ha)]]/Table1_2[[#This Row],[Area (Hectares)]]</f>
        <v>23.259338917817523</v>
      </c>
      <c r="S160" s="10">
        <f>Table1_2[[#This Row],[Yield per Acre]]/Table1_2[[#This Row],[Yield (Kg/Ha)]]</f>
        <v>1.1319900384876612E-2</v>
      </c>
      <c r="T160" s="11">
        <f>Table1_2[[#This Row],[Yield per Acre]]/N160</f>
        <v>7.7715055357070142E-2</v>
      </c>
    </row>
    <row r="161" spans="1:20" x14ac:dyDescent="0.3">
      <c r="A161" s="8" t="s">
        <v>225</v>
      </c>
      <c r="B161" s="9">
        <v>2019</v>
      </c>
      <c r="C161" s="9" t="str">
        <f t="shared" si="2"/>
        <v>1905-07</v>
      </c>
      <c r="D161" s="10">
        <v>2019</v>
      </c>
      <c r="E161" s="8" t="s">
        <v>25</v>
      </c>
      <c r="F161" s="8" t="s">
        <v>87</v>
      </c>
      <c r="G161" s="8" t="s">
        <v>19</v>
      </c>
      <c r="H161" s="8" t="s">
        <v>64</v>
      </c>
      <c r="I161" s="10">
        <v>92.92</v>
      </c>
      <c r="J161" s="10">
        <v>279.70999999999998</v>
      </c>
      <c r="K161" s="10">
        <v>3010.25</v>
      </c>
      <c r="L161" s="8" t="s">
        <v>28</v>
      </c>
      <c r="M161" s="8" t="s">
        <v>47</v>
      </c>
      <c r="N161" s="10">
        <v>297.27</v>
      </c>
      <c r="O161" s="10">
        <v>743.3</v>
      </c>
      <c r="P161" s="8" t="s">
        <v>52</v>
      </c>
      <c r="Q161" s="10">
        <v>33.340000000000003</v>
      </c>
      <c r="R161" s="10">
        <f xml:space="preserve"> Table1_2[[#This Row],[Yield (Kg/Ha)]]/Table1_2[[#This Row],[Area (Hectares)]]</f>
        <v>32.396147223417991</v>
      </c>
      <c r="S161" s="10">
        <f>Table1_2[[#This Row],[Yield per Acre]]/Table1_2[[#This Row],[Yield (Kg/Ha)]]</f>
        <v>1.0761945759793369E-2</v>
      </c>
      <c r="T161" s="11">
        <f>Table1_2[[#This Row],[Yield per Acre]]/N161</f>
        <v>0.10897886508365456</v>
      </c>
    </row>
    <row r="162" spans="1:20" x14ac:dyDescent="0.3">
      <c r="A162" s="8" t="s">
        <v>226</v>
      </c>
      <c r="B162" s="9">
        <v>2013</v>
      </c>
      <c r="C162" s="9" t="str">
        <f t="shared" si="2"/>
        <v>1905-07</v>
      </c>
      <c r="D162" s="10">
        <v>2013</v>
      </c>
      <c r="E162" s="8" t="s">
        <v>36</v>
      </c>
      <c r="F162" s="8" t="s">
        <v>51</v>
      </c>
      <c r="G162" s="8" t="s">
        <v>33</v>
      </c>
      <c r="H162" s="8" t="s">
        <v>20</v>
      </c>
      <c r="I162" s="10">
        <v>17.09</v>
      </c>
      <c r="J162" s="10">
        <v>64.150000000000006</v>
      </c>
      <c r="K162" s="10">
        <v>3753.49</v>
      </c>
      <c r="L162" s="8" t="s">
        <v>34</v>
      </c>
      <c r="M162" s="8" t="s">
        <v>41</v>
      </c>
      <c r="N162" s="10">
        <v>229.65</v>
      </c>
      <c r="O162" s="10">
        <v>214.08</v>
      </c>
      <c r="P162" s="8" t="s">
        <v>70</v>
      </c>
      <c r="Q162" s="10">
        <v>31.86</v>
      </c>
      <c r="R162" s="10">
        <f xml:space="preserve"> Table1_2[[#This Row],[Yield (Kg/Ha)]]/Table1_2[[#This Row],[Area (Hectares)]]</f>
        <v>219.63077823288472</v>
      </c>
      <c r="S162" s="10">
        <f>Table1_2[[#This Row],[Yield per Acre]]/Table1_2[[#This Row],[Yield (Kg/Ha)]]</f>
        <v>5.8513750731421885E-2</v>
      </c>
      <c r="T162" s="11">
        <f>Table1_2[[#This Row],[Yield per Acre]]/N162</f>
        <v>0.95637177545344965</v>
      </c>
    </row>
    <row r="163" spans="1:20" x14ac:dyDescent="0.3">
      <c r="A163" s="8" t="s">
        <v>227</v>
      </c>
      <c r="B163" s="9">
        <v>2020</v>
      </c>
      <c r="C163" s="9" t="str">
        <f t="shared" si="2"/>
        <v>1905-07</v>
      </c>
      <c r="D163" s="10">
        <v>2020</v>
      </c>
      <c r="E163" s="8" t="s">
        <v>103</v>
      </c>
      <c r="F163" s="8" t="s">
        <v>228</v>
      </c>
      <c r="G163" s="8" t="s">
        <v>38</v>
      </c>
      <c r="H163" s="8" t="s">
        <v>46</v>
      </c>
      <c r="I163" s="10">
        <v>52.01</v>
      </c>
      <c r="J163" s="10">
        <v>79.08</v>
      </c>
      <c r="K163" s="10">
        <v>1520.43</v>
      </c>
      <c r="L163" s="8" t="s">
        <v>21</v>
      </c>
      <c r="M163" s="8" t="s">
        <v>49</v>
      </c>
      <c r="N163" s="10">
        <v>96.2</v>
      </c>
      <c r="O163" s="10">
        <v>340.61</v>
      </c>
      <c r="P163" s="8" t="s">
        <v>70</v>
      </c>
      <c r="Q163" s="10">
        <v>34.04</v>
      </c>
      <c r="R163" s="10">
        <f xml:space="preserve"> Table1_2[[#This Row],[Yield (Kg/Ha)]]/Table1_2[[#This Row],[Area (Hectares)]]</f>
        <v>29.233416650644109</v>
      </c>
      <c r="S163" s="10">
        <f>Table1_2[[#This Row],[Yield per Acre]]/Table1_2[[#This Row],[Yield (Kg/Ha)]]</f>
        <v>1.9227071716977504E-2</v>
      </c>
      <c r="T163" s="11">
        <f>Table1_2[[#This Row],[Yield per Acre]]/N163</f>
        <v>0.30388166996511545</v>
      </c>
    </row>
    <row r="164" spans="1:20" x14ac:dyDescent="0.3">
      <c r="A164" s="8" t="s">
        <v>229</v>
      </c>
      <c r="B164" s="9">
        <v>2017</v>
      </c>
      <c r="C164" s="9" t="str">
        <f t="shared" si="2"/>
        <v>1905-07</v>
      </c>
      <c r="D164" s="10">
        <v>2017</v>
      </c>
      <c r="E164" s="8" t="s">
        <v>36</v>
      </c>
      <c r="F164" s="8" t="s">
        <v>37</v>
      </c>
      <c r="G164" s="8" t="s">
        <v>38</v>
      </c>
      <c r="H164" s="8" t="s">
        <v>20</v>
      </c>
      <c r="I164" s="10">
        <v>30.89</v>
      </c>
      <c r="J164" s="10">
        <v>164.87</v>
      </c>
      <c r="K164" s="10">
        <v>5337.3</v>
      </c>
      <c r="L164" s="8" t="s">
        <v>21</v>
      </c>
      <c r="M164" s="8" t="s">
        <v>29</v>
      </c>
      <c r="N164" s="10">
        <v>115.39</v>
      </c>
      <c r="O164" s="10">
        <v>559.54999999999995</v>
      </c>
      <c r="P164" s="8" t="s">
        <v>42</v>
      </c>
      <c r="Q164" s="10">
        <v>20.93</v>
      </c>
      <c r="R164" s="10">
        <f xml:space="preserve"> Table1_2[[#This Row],[Yield (Kg/Ha)]]/Table1_2[[#This Row],[Area (Hectares)]]</f>
        <v>172.78407251537715</v>
      </c>
      <c r="S164" s="10">
        <f>Table1_2[[#This Row],[Yield per Acre]]/Table1_2[[#This Row],[Yield (Kg/Ha)]]</f>
        <v>3.2372936225315632E-2</v>
      </c>
      <c r="T164" s="11">
        <f>Table1_2[[#This Row],[Yield per Acre]]/N164</f>
        <v>1.4973920835027053</v>
      </c>
    </row>
    <row r="165" spans="1:20" x14ac:dyDescent="0.3">
      <c r="A165" s="8" t="s">
        <v>230</v>
      </c>
      <c r="B165" s="9">
        <v>2016</v>
      </c>
      <c r="C165" s="9" t="str">
        <f t="shared" si="2"/>
        <v>1905-07</v>
      </c>
      <c r="D165" s="10">
        <v>2016</v>
      </c>
      <c r="E165" s="8" t="s">
        <v>31</v>
      </c>
      <c r="F165" s="8" t="s">
        <v>82</v>
      </c>
      <c r="G165" s="8" t="s">
        <v>19</v>
      </c>
      <c r="H165" s="8" t="s">
        <v>27</v>
      </c>
      <c r="I165" s="10">
        <v>92.39</v>
      </c>
      <c r="J165" s="10">
        <v>584.53</v>
      </c>
      <c r="K165" s="10">
        <v>6326.81</v>
      </c>
      <c r="L165" s="8" t="s">
        <v>34</v>
      </c>
      <c r="M165" s="8" t="s">
        <v>41</v>
      </c>
      <c r="N165" s="10">
        <v>222.57</v>
      </c>
      <c r="O165" s="10">
        <v>838.71</v>
      </c>
      <c r="P165" s="8" t="s">
        <v>70</v>
      </c>
      <c r="Q165" s="10">
        <v>25.51</v>
      </c>
      <c r="R165" s="10">
        <f xml:space="preserve"> Table1_2[[#This Row],[Yield (Kg/Ha)]]/Table1_2[[#This Row],[Area (Hectares)]]</f>
        <v>68.479380885377211</v>
      </c>
      <c r="S165" s="10">
        <f>Table1_2[[#This Row],[Yield per Acre]]/Table1_2[[#This Row],[Yield (Kg/Ha)]]</f>
        <v>1.0823682216690118E-2</v>
      </c>
      <c r="T165" s="11">
        <f>Table1_2[[#This Row],[Yield per Acre]]/N165</f>
        <v>0.30767570151133222</v>
      </c>
    </row>
    <row r="166" spans="1:20" x14ac:dyDescent="0.3">
      <c r="A166" s="8" t="s">
        <v>231</v>
      </c>
      <c r="B166" s="9">
        <v>2012</v>
      </c>
      <c r="C166" s="9" t="str">
        <f t="shared" si="2"/>
        <v>1905-07</v>
      </c>
      <c r="D166" s="10">
        <v>2012</v>
      </c>
      <c r="E166" s="8" t="s">
        <v>103</v>
      </c>
      <c r="F166" s="8" t="s">
        <v>107</v>
      </c>
      <c r="G166" s="8" t="s">
        <v>38</v>
      </c>
      <c r="H166" s="8" t="s">
        <v>39</v>
      </c>
      <c r="I166" s="10">
        <v>98.89</v>
      </c>
      <c r="J166" s="10">
        <v>320.58</v>
      </c>
      <c r="K166" s="10">
        <v>3241.75</v>
      </c>
      <c r="L166" s="8" t="s">
        <v>28</v>
      </c>
      <c r="M166" s="8" t="s">
        <v>47</v>
      </c>
      <c r="N166" s="10">
        <v>239.34</v>
      </c>
      <c r="O166" s="10">
        <v>1001.99</v>
      </c>
      <c r="P166" s="8" t="s">
        <v>42</v>
      </c>
      <c r="Q166" s="10">
        <v>31.43</v>
      </c>
      <c r="R166" s="10">
        <f xml:space="preserve"> Table1_2[[#This Row],[Yield (Kg/Ha)]]/Table1_2[[#This Row],[Area (Hectares)]]</f>
        <v>32.781373242997269</v>
      </c>
      <c r="S166" s="10">
        <f>Table1_2[[#This Row],[Yield per Acre]]/Table1_2[[#This Row],[Yield (Kg/Ha)]]</f>
        <v>1.0112245929821012E-2</v>
      </c>
      <c r="T166" s="11">
        <f>Table1_2[[#This Row],[Yield per Acre]]/N166</f>
        <v>0.13696571088408652</v>
      </c>
    </row>
    <row r="167" spans="1:20" x14ac:dyDescent="0.3">
      <c r="A167" s="8" t="s">
        <v>232</v>
      </c>
      <c r="B167" s="9">
        <v>2022</v>
      </c>
      <c r="C167" s="9" t="str">
        <f t="shared" si="2"/>
        <v>1905-07</v>
      </c>
      <c r="D167" s="10">
        <v>2021</v>
      </c>
      <c r="E167" s="8" t="s">
        <v>36</v>
      </c>
      <c r="F167" s="8" t="s">
        <v>77</v>
      </c>
      <c r="G167" s="8" t="s">
        <v>38</v>
      </c>
      <c r="H167" s="8" t="s">
        <v>64</v>
      </c>
      <c r="I167" s="10">
        <v>91.81</v>
      </c>
      <c r="J167" s="10">
        <v>153.62</v>
      </c>
      <c r="K167" s="10">
        <v>1673.25</v>
      </c>
      <c r="L167" s="8" t="s">
        <v>40</v>
      </c>
      <c r="M167" s="8" t="s">
        <v>22</v>
      </c>
      <c r="N167" s="10">
        <v>193.18</v>
      </c>
      <c r="O167" s="10">
        <v>349.85</v>
      </c>
      <c r="P167" s="8" t="s">
        <v>70</v>
      </c>
      <c r="Q167" s="10">
        <v>32.82</v>
      </c>
      <c r="R167" s="10">
        <f xml:space="preserve"> Table1_2[[#This Row],[Yield (Kg/Ha)]]/Table1_2[[#This Row],[Area (Hectares)]]</f>
        <v>18.225138873761029</v>
      </c>
      <c r="S167" s="10">
        <f>Table1_2[[#This Row],[Yield per Acre]]/Table1_2[[#This Row],[Yield (Kg/Ha)]]</f>
        <v>1.0892059688487093E-2</v>
      </c>
      <c r="T167" s="11">
        <f>Table1_2[[#This Row],[Yield per Acre]]/N167</f>
        <v>9.4342783278605596E-2</v>
      </c>
    </row>
    <row r="168" spans="1:20" x14ac:dyDescent="0.3">
      <c r="A168" s="8" t="s">
        <v>233</v>
      </c>
      <c r="B168" s="9">
        <v>2021</v>
      </c>
      <c r="C168" s="9" t="str">
        <f t="shared" si="2"/>
        <v>1905-07</v>
      </c>
      <c r="D168" s="10">
        <v>2021</v>
      </c>
      <c r="E168" s="8" t="s">
        <v>17</v>
      </c>
      <c r="F168" s="8" t="s">
        <v>18</v>
      </c>
      <c r="G168" s="8" t="s">
        <v>19</v>
      </c>
      <c r="H168" s="8" t="s">
        <v>46</v>
      </c>
      <c r="I168" s="10">
        <v>10</v>
      </c>
      <c r="J168" s="10">
        <v>40.619999999999997</v>
      </c>
      <c r="K168" s="10">
        <v>4062.25</v>
      </c>
      <c r="L168" s="8" t="s">
        <v>21</v>
      </c>
      <c r="M168" s="8" t="s">
        <v>29</v>
      </c>
      <c r="N168" s="10">
        <v>163.36000000000001</v>
      </c>
      <c r="O168" s="10">
        <v>713.25</v>
      </c>
      <c r="P168" s="8" t="s">
        <v>52</v>
      </c>
      <c r="Q168" s="10">
        <v>28.46</v>
      </c>
      <c r="R168" s="10">
        <f xml:space="preserve"> Table1_2[[#This Row],[Yield (Kg/Ha)]]/Table1_2[[#This Row],[Area (Hectares)]]</f>
        <v>406.22500000000002</v>
      </c>
      <c r="S168" s="10">
        <f>Table1_2[[#This Row],[Yield per Acre]]/Table1_2[[#This Row],[Yield (Kg/Ha)]]</f>
        <v>0.1</v>
      </c>
      <c r="T168" s="11">
        <f>Table1_2[[#This Row],[Yield per Acre]]/N168</f>
        <v>2.4866858472086188</v>
      </c>
    </row>
    <row r="169" spans="1:20" x14ac:dyDescent="0.3">
      <c r="A169" s="8" t="s">
        <v>234</v>
      </c>
      <c r="B169" s="9">
        <v>2021</v>
      </c>
      <c r="C169" s="9" t="str">
        <f t="shared" si="2"/>
        <v>1905-07</v>
      </c>
      <c r="D169" s="10">
        <v>2021</v>
      </c>
      <c r="E169" s="8" t="s">
        <v>17</v>
      </c>
      <c r="F169" s="8" t="s">
        <v>72</v>
      </c>
      <c r="G169" s="8" t="s">
        <v>33</v>
      </c>
      <c r="H169" s="8" t="s">
        <v>46</v>
      </c>
      <c r="I169" s="10">
        <v>26.19</v>
      </c>
      <c r="J169" s="10">
        <v>26.66</v>
      </c>
      <c r="K169" s="10">
        <v>1018.09</v>
      </c>
      <c r="L169" s="8" t="s">
        <v>40</v>
      </c>
      <c r="M169" s="8" t="s">
        <v>22</v>
      </c>
      <c r="N169" s="10">
        <v>194.58</v>
      </c>
      <c r="O169" s="10">
        <v>245.29</v>
      </c>
      <c r="P169" s="8" t="s">
        <v>70</v>
      </c>
      <c r="Q169" s="10">
        <v>30.51</v>
      </c>
      <c r="R169" s="10">
        <f xml:space="preserve"> Table1_2[[#This Row],[Yield (Kg/Ha)]]/Table1_2[[#This Row],[Area (Hectares)]]</f>
        <v>38.873234058801067</v>
      </c>
      <c r="S169" s="10">
        <f>Table1_2[[#This Row],[Yield per Acre]]/Table1_2[[#This Row],[Yield (Kg/Ha)]]</f>
        <v>3.8182512409316527E-2</v>
      </c>
      <c r="T169" s="11">
        <f>Table1_2[[#This Row],[Yield per Acre]]/N169</f>
        <v>0.1997802140960071</v>
      </c>
    </row>
    <row r="170" spans="1:20" x14ac:dyDescent="0.3">
      <c r="A170" s="8" t="s">
        <v>235</v>
      </c>
      <c r="B170" s="9">
        <v>2011</v>
      </c>
      <c r="C170" s="9" t="str">
        <f t="shared" si="2"/>
        <v>1905-07</v>
      </c>
      <c r="D170" s="10">
        <v>2010</v>
      </c>
      <c r="E170" s="8" t="s">
        <v>25</v>
      </c>
      <c r="F170" s="8" t="s">
        <v>87</v>
      </c>
      <c r="G170" s="8" t="s">
        <v>38</v>
      </c>
      <c r="H170" s="8" t="s">
        <v>46</v>
      </c>
      <c r="I170" s="10">
        <v>18.82</v>
      </c>
      <c r="J170" s="10">
        <v>34.11</v>
      </c>
      <c r="K170" s="10">
        <v>1812.57</v>
      </c>
      <c r="L170" s="8" t="s">
        <v>28</v>
      </c>
      <c r="M170" s="8" t="s">
        <v>29</v>
      </c>
      <c r="N170" s="10">
        <v>143.62</v>
      </c>
      <c r="O170" s="10">
        <v>1091.33</v>
      </c>
      <c r="P170" s="8" t="s">
        <v>52</v>
      </c>
      <c r="Q170" s="10">
        <v>33.04</v>
      </c>
      <c r="R170" s="10">
        <f xml:space="preserve"> Table1_2[[#This Row],[Yield (Kg/Ha)]]/Table1_2[[#This Row],[Area (Hectares)]]</f>
        <v>96.310839532412317</v>
      </c>
      <c r="S170" s="10">
        <f>Table1_2[[#This Row],[Yield per Acre]]/Table1_2[[#This Row],[Yield (Kg/Ha)]]</f>
        <v>5.3134962805526029E-2</v>
      </c>
      <c r="T170" s="11">
        <f>Table1_2[[#This Row],[Yield per Acre]]/N170</f>
        <v>0.670594899961094</v>
      </c>
    </row>
    <row r="171" spans="1:20" x14ac:dyDescent="0.3">
      <c r="A171" s="8" t="s">
        <v>236</v>
      </c>
      <c r="B171" s="9">
        <v>2020</v>
      </c>
      <c r="C171" s="9" t="str">
        <f t="shared" si="2"/>
        <v>1905-07</v>
      </c>
      <c r="D171" s="10">
        <v>2020</v>
      </c>
      <c r="E171" s="8" t="s">
        <v>25</v>
      </c>
      <c r="F171" s="8" t="s">
        <v>69</v>
      </c>
      <c r="G171" s="8" t="s">
        <v>19</v>
      </c>
      <c r="H171" s="8" t="s">
        <v>56</v>
      </c>
      <c r="I171" s="10">
        <v>65.7</v>
      </c>
      <c r="J171" s="10">
        <v>202.79</v>
      </c>
      <c r="K171" s="10">
        <v>3086.62</v>
      </c>
      <c r="L171" s="8" t="s">
        <v>40</v>
      </c>
      <c r="M171" s="8" t="s">
        <v>22</v>
      </c>
      <c r="N171" s="10">
        <v>298.20999999999998</v>
      </c>
      <c r="O171" s="10">
        <v>593.05999999999995</v>
      </c>
      <c r="P171" s="8" t="s">
        <v>42</v>
      </c>
      <c r="Q171" s="10">
        <v>30.92</v>
      </c>
      <c r="R171" s="10">
        <f xml:space="preserve"> Table1_2[[#This Row],[Yield (Kg/Ha)]]/Table1_2[[#This Row],[Area (Hectares)]]</f>
        <v>46.980517503805174</v>
      </c>
      <c r="S171" s="10">
        <f>Table1_2[[#This Row],[Yield per Acre]]/Table1_2[[#This Row],[Yield (Kg/Ha)]]</f>
        <v>1.5220700152207002E-2</v>
      </c>
      <c r="T171" s="11">
        <f>Table1_2[[#This Row],[Yield per Acre]]/N171</f>
        <v>0.15754172396567914</v>
      </c>
    </row>
    <row r="172" spans="1:20" x14ac:dyDescent="0.3">
      <c r="A172" s="8" t="s">
        <v>237</v>
      </c>
      <c r="B172" s="9">
        <v>2014</v>
      </c>
      <c r="C172" s="9" t="str">
        <f t="shared" si="2"/>
        <v>1905-07</v>
      </c>
      <c r="D172" s="10">
        <v>2014</v>
      </c>
      <c r="E172" s="8" t="s">
        <v>44</v>
      </c>
      <c r="F172" s="8" t="s">
        <v>45</v>
      </c>
      <c r="G172" s="8" t="s">
        <v>38</v>
      </c>
      <c r="H172" s="8" t="s">
        <v>39</v>
      </c>
      <c r="I172" s="10">
        <v>72.19</v>
      </c>
      <c r="J172" s="10">
        <v>255.9</v>
      </c>
      <c r="K172" s="10">
        <v>3544.77</v>
      </c>
      <c r="L172" s="8" t="s">
        <v>28</v>
      </c>
      <c r="M172" s="8" t="s">
        <v>22</v>
      </c>
      <c r="N172" s="10">
        <v>255.84</v>
      </c>
      <c r="O172" s="10">
        <v>447.51</v>
      </c>
      <c r="P172" s="8" t="s">
        <v>70</v>
      </c>
      <c r="Q172" s="10">
        <v>22.33</v>
      </c>
      <c r="R172" s="10">
        <f xml:space="preserve"> Table1_2[[#This Row],[Yield (Kg/Ha)]]/Table1_2[[#This Row],[Area (Hectares)]]</f>
        <v>49.103338412522511</v>
      </c>
      <c r="S172" s="10">
        <f>Table1_2[[#This Row],[Yield per Acre]]/Table1_2[[#This Row],[Yield (Kg/Ha)]]</f>
        <v>1.3852334118298934E-2</v>
      </c>
      <c r="T172" s="11">
        <f>Table1_2[[#This Row],[Yield per Acre]]/N172</f>
        <v>0.19192987184381843</v>
      </c>
    </row>
    <row r="173" spans="1:20" x14ac:dyDescent="0.3">
      <c r="A173" s="8" t="s">
        <v>238</v>
      </c>
      <c r="B173" s="9">
        <v>2016</v>
      </c>
      <c r="C173" s="9" t="str">
        <f t="shared" si="2"/>
        <v>1905-07</v>
      </c>
      <c r="D173" s="10">
        <v>2016</v>
      </c>
      <c r="E173" s="8" t="s">
        <v>25</v>
      </c>
      <c r="F173" s="8" t="s">
        <v>69</v>
      </c>
      <c r="G173" s="8" t="s">
        <v>19</v>
      </c>
      <c r="H173" s="8" t="s">
        <v>64</v>
      </c>
      <c r="I173" s="10">
        <v>24.83</v>
      </c>
      <c r="J173" s="10">
        <v>34.86</v>
      </c>
      <c r="K173" s="10">
        <v>1403.75</v>
      </c>
      <c r="L173" s="8" t="s">
        <v>21</v>
      </c>
      <c r="M173" s="8" t="s">
        <v>29</v>
      </c>
      <c r="N173" s="10">
        <v>161.61000000000001</v>
      </c>
      <c r="O173" s="10">
        <v>872.02</v>
      </c>
      <c r="P173" s="8" t="s">
        <v>23</v>
      </c>
      <c r="Q173" s="10">
        <v>23.67</v>
      </c>
      <c r="R173" s="10">
        <f xml:space="preserve"> Table1_2[[#This Row],[Yield (Kg/Ha)]]/Table1_2[[#This Row],[Area (Hectares)]]</f>
        <v>56.534434152235207</v>
      </c>
      <c r="S173" s="10">
        <f>Table1_2[[#This Row],[Yield per Acre]]/Table1_2[[#This Row],[Yield (Kg/Ha)]]</f>
        <v>4.0273862263391066E-2</v>
      </c>
      <c r="T173" s="11">
        <f>Table1_2[[#This Row],[Yield per Acre]]/N173</f>
        <v>0.34982014821010582</v>
      </c>
    </row>
    <row r="174" spans="1:20" x14ac:dyDescent="0.3">
      <c r="A174" s="8" t="s">
        <v>239</v>
      </c>
      <c r="B174" s="9">
        <v>2018</v>
      </c>
      <c r="C174" s="9" t="str">
        <f t="shared" si="2"/>
        <v>1905-07</v>
      </c>
      <c r="D174" s="10">
        <v>2018</v>
      </c>
      <c r="E174" s="8" t="s">
        <v>36</v>
      </c>
      <c r="F174" s="8" t="s">
        <v>37</v>
      </c>
      <c r="G174" s="8" t="s">
        <v>33</v>
      </c>
      <c r="H174" s="8" t="s">
        <v>64</v>
      </c>
      <c r="I174" s="10">
        <v>14.87</v>
      </c>
      <c r="J174" s="10">
        <v>103.51</v>
      </c>
      <c r="K174" s="10">
        <v>6960.9</v>
      </c>
      <c r="L174" s="8" t="s">
        <v>40</v>
      </c>
      <c r="M174" s="8" t="s">
        <v>41</v>
      </c>
      <c r="N174" s="10">
        <v>253.95</v>
      </c>
      <c r="O174" s="10">
        <v>931.52</v>
      </c>
      <c r="P174" s="8" t="s">
        <v>70</v>
      </c>
      <c r="Q174" s="10">
        <v>28.66</v>
      </c>
      <c r="R174" s="10">
        <f xml:space="preserve"> Table1_2[[#This Row],[Yield (Kg/Ha)]]/Table1_2[[#This Row],[Area (Hectares)]]</f>
        <v>468.1170141223941</v>
      </c>
      <c r="S174" s="10">
        <f>Table1_2[[#This Row],[Yield per Acre]]/Table1_2[[#This Row],[Yield (Kg/Ha)]]</f>
        <v>6.7249495628782796E-2</v>
      </c>
      <c r="T174" s="11">
        <f>Table1_2[[#This Row],[Yield per Acre]]/N174</f>
        <v>1.8433432334018276</v>
      </c>
    </row>
    <row r="175" spans="1:20" x14ac:dyDescent="0.3">
      <c r="A175" s="8" t="s">
        <v>240</v>
      </c>
      <c r="B175" s="9">
        <v>2020</v>
      </c>
      <c r="C175" s="9" t="str">
        <f t="shared" si="2"/>
        <v>1905-07</v>
      </c>
      <c r="D175" s="10">
        <v>2020</v>
      </c>
      <c r="E175" s="8" t="s">
        <v>31</v>
      </c>
      <c r="F175" s="8" t="s">
        <v>82</v>
      </c>
      <c r="G175" s="8" t="s">
        <v>19</v>
      </c>
      <c r="H175" s="8" t="s">
        <v>56</v>
      </c>
      <c r="I175" s="10">
        <v>41.94</v>
      </c>
      <c r="J175" s="10">
        <v>111.18</v>
      </c>
      <c r="K175" s="10">
        <v>2650.92</v>
      </c>
      <c r="L175" s="8" t="s">
        <v>40</v>
      </c>
      <c r="M175" s="8" t="s">
        <v>29</v>
      </c>
      <c r="N175" s="10">
        <v>206.5</v>
      </c>
      <c r="O175" s="10">
        <v>627.20000000000005</v>
      </c>
      <c r="P175" s="8" t="s">
        <v>52</v>
      </c>
      <c r="Q175" s="10">
        <v>20.7</v>
      </c>
      <c r="R175" s="10">
        <f xml:space="preserve"> Table1_2[[#This Row],[Yield (Kg/Ha)]]/Table1_2[[#This Row],[Area (Hectares)]]</f>
        <v>63.207439198855511</v>
      </c>
      <c r="S175" s="10">
        <f>Table1_2[[#This Row],[Yield per Acre]]/Table1_2[[#This Row],[Yield (Kg/Ha)]]</f>
        <v>2.3843586075345733E-2</v>
      </c>
      <c r="T175" s="11">
        <f>Table1_2[[#This Row],[Yield per Acre]]/N175</f>
        <v>0.30608929394118889</v>
      </c>
    </row>
    <row r="176" spans="1:20" x14ac:dyDescent="0.3">
      <c r="A176" s="8" t="s">
        <v>241</v>
      </c>
      <c r="B176" s="9">
        <v>2015</v>
      </c>
      <c r="C176" s="9" t="str">
        <f t="shared" si="2"/>
        <v>1905-07</v>
      </c>
      <c r="D176" s="10">
        <v>2015</v>
      </c>
      <c r="E176" s="8" t="s">
        <v>44</v>
      </c>
      <c r="F176" s="8" t="s">
        <v>67</v>
      </c>
      <c r="G176" s="8" t="s">
        <v>19</v>
      </c>
      <c r="H176" s="8" t="s">
        <v>46</v>
      </c>
      <c r="I176" s="10">
        <v>41.42</v>
      </c>
      <c r="J176" s="10">
        <v>115.95</v>
      </c>
      <c r="K176" s="10">
        <v>2799.33</v>
      </c>
      <c r="L176" s="8" t="s">
        <v>40</v>
      </c>
      <c r="M176" s="8" t="s">
        <v>41</v>
      </c>
      <c r="N176" s="10">
        <v>238.6</v>
      </c>
      <c r="O176" s="10">
        <v>673.52</v>
      </c>
      <c r="P176" s="8" t="s">
        <v>42</v>
      </c>
      <c r="Q176" s="10">
        <v>24.51</v>
      </c>
      <c r="R176" s="10">
        <f xml:space="preserve"> Table1_2[[#This Row],[Yield (Kg/Ha)]]/Table1_2[[#This Row],[Area (Hectares)]]</f>
        <v>67.584017382906808</v>
      </c>
      <c r="S176" s="10">
        <f>Table1_2[[#This Row],[Yield per Acre]]/Table1_2[[#This Row],[Yield (Kg/Ha)]]</f>
        <v>2.4142926122646065E-2</v>
      </c>
      <c r="T176" s="11">
        <f>Table1_2[[#This Row],[Yield per Acre]]/N176</f>
        <v>0.28325237796691871</v>
      </c>
    </row>
    <row r="177" spans="1:20" x14ac:dyDescent="0.3">
      <c r="A177" s="8" t="s">
        <v>242</v>
      </c>
      <c r="B177" s="9">
        <v>2010</v>
      </c>
      <c r="C177" s="9" t="str">
        <f t="shared" si="2"/>
        <v>1905-07</v>
      </c>
      <c r="D177" s="10">
        <v>2010</v>
      </c>
      <c r="E177" s="8" t="s">
        <v>44</v>
      </c>
      <c r="F177" s="8" t="s">
        <v>99</v>
      </c>
      <c r="G177" s="8" t="s">
        <v>19</v>
      </c>
      <c r="H177" s="8" t="s">
        <v>46</v>
      </c>
      <c r="I177" s="10">
        <v>96.81</v>
      </c>
      <c r="J177" s="10">
        <v>420.52</v>
      </c>
      <c r="K177" s="10">
        <v>4343.72</v>
      </c>
      <c r="L177" s="8" t="s">
        <v>40</v>
      </c>
      <c r="M177" s="8" t="s">
        <v>29</v>
      </c>
      <c r="N177" s="10">
        <v>147.1</v>
      </c>
      <c r="O177" s="10">
        <v>455</v>
      </c>
      <c r="P177" s="8" t="s">
        <v>70</v>
      </c>
      <c r="Q177" s="10">
        <v>29.7</v>
      </c>
      <c r="R177" s="10">
        <f xml:space="preserve"> Table1_2[[#This Row],[Yield (Kg/Ha)]]/Table1_2[[#This Row],[Area (Hectares)]]</f>
        <v>44.868505319698379</v>
      </c>
      <c r="S177" s="10">
        <f>Table1_2[[#This Row],[Yield per Acre]]/Table1_2[[#This Row],[Yield (Kg/Ha)]]</f>
        <v>1.0329511414110112E-2</v>
      </c>
      <c r="T177" s="11">
        <f>Table1_2[[#This Row],[Yield per Acre]]/N177</f>
        <v>0.30502043045342203</v>
      </c>
    </row>
    <row r="178" spans="1:20" x14ac:dyDescent="0.3">
      <c r="A178" s="8" t="s">
        <v>243</v>
      </c>
      <c r="B178" s="9">
        <v>2011</v>
      </c>
      <c r="C178" s="9" t="str">
        <f t="shared" si="2"/>
        <v>1905-07</v>
      </c>
      <c r="D178" s="10">
        <v>2011</v>
      </c>
      <c r="E178" s="8" t="s">
        <v>44</v>
      </c>
      <c r="F178" s="8" t="s">
        <v>99</v>
      </c>
      <c r="G178" s="8" t="s">
        <v>19</v>
      </c>
      <c r="H178" s="8" t="s">
        <v>39</v>
      </c>
      <c r="I178" s="10">
        <v>83.11</v>
      </c>
      <c r="J178" s="10">
        <v>108.81</v>
      </c>
      <c r="K178" s="10">
        <v>1309.22</v>
      </c>
      <c r="L178" s="8" t="s">
        <v>28</v>
      </c>
      <c r="M178" s="8" t="s">
        <v>47</v>
      </c>
      <c r="N178" s="10">
        <v>218.42</v>
      </c>
      <c r="O178" s="10">
        <v>802.92</v>
      </c>
      <c r="P178" s="8" t="s">
        <v>23</v>
      </c>
      <c r="Q178" s="10">
        <v>22.82</v>
      </c>
      <c r="R178" s="10">
        <f xml:space="preserve"> Table1_2[[#This Row],[Yield (Kg/Ha)]]/Table1_2[[#This Row],[Area (Hectares)]]</f>
        <v>15.752857658524848</v>
      </c>
      <c r="S178" s="10">
        <f>Table1_2[[#This Row],[Yield per Acre]]/Table1_2[[#This Row],[Yield (Kg/Ha)]]</f>
        <v>1.203224642040669E-2</v>
      </c>
      <c r="T178" s="11">
        <f>Table1_2[[#This Row],[Yield per Acre]]/N178</f>
        <v>7.2121864566087573E-2</v>
      </c>
    </row>
    <row r="179" spans="1:20" x14ac:dyDescent="0.3">
      <c r="A179" s="8" t="s">
        <v>244</v>
      </c>
      <c r="B179" s="9">
        <v>2018</v>
      </c>
      <c r="C179" s="9" t="str">
        <f t="shared" si="2"/>
        <v>1905-07</v>
      </c>
      <c r="D179" s="10">
        <v>2018</v>
      </c>
      <c r="E179" s="8" t="s">
        <v>17</v>
      </c>
      <c r="F179" s="8" t="s">
        <v>54</v>
      </c>
      <c r="G179" s="8" t="s">
        <v>33</v>
      </c>
      <c r="H179" s="8" t="s">
        <v>46</v>
      </c>
      <c r="I179" s="10">
        <v>21.68</v>
      </c>
      <c r="J179" s="10">
        <v>139.66999999999999</v>
      </c>
      <c r="K179" s="10">
        <v>6442.2</v>
      </c>
      <c r="L179" s="8" t="s">
        <v>34</v>
      </c>
      <c r="M179" s="8" t="s">
        <v>29</v>
      </c>
      <c r="N179" s="10">
        <v>289.25</v>
      </c>
      <c r="O179" s="10">
        <v>215.33</v>
      </c>
      <c r="P179" s="8" t="s">
        <v>42</v>
      </c>
      <c r="Q179" s="10">
        <v>34.43</v>
      </c>
      <c r="R179" s="10">
        <f xml:space="preserve"> Table1_2[[#This Row],[Yield (Kg/Ha)]]/Table1_2[[#This Row],[Area (Hectares)]]</f>
        <v>297.14944649446494</v>
      </c>
      <c r="S179" s="10">
        <f>Table1_2[[#This Row],[Yield per Acre]]/Table1_2[[#This Row],[Yield (Kg/Ha)]]</f>
        <v>4.6125461254612546E-2</v>
      </c>
      <c r="T179" s="11">
        <f>Table1_2[[#This Row],[Yield per Acre]]/N179</f>
        <v>1.0273101002401555</v>
      </c>
    </row>
    <row r="180" spans="1:20" x14ac:dyDescent="0.3">
      <c r="A180" s="8" t="s">
        <v>245</v>
      </c>
      <c r="B180" s="9">
        <v>2019</v>
      </c>
      <c r="C180" s="9" t="str">
        <f t="shared" si="2"/>
        <v>1905-07</v>
      </c>
      <c r="D180" s="10">
        <v>2019</v>
      </c>
      <c r="E180" s="8" t="s">
        <v>103</v>
      </c>
      <c r="F180" s="8" t="s">
        <v>228</v>
      </c>
      <c r="G180" s="8" t="s">
        <v>19</v>
      </c>
      <c r="H180" s="8" t="s">
        <v>56</v>
      </c>
      <c r="I180" s="10">
        <v>40.270000000000003</v>
      </c>
      <c r="J180" s="10">
        <v>98.1</v>
      </c>
      <c r="K180" s="10">
        <v>2435.9899999999998</v>
      </c>
      <c r="L180" s="8" t="s">
        <v>34</v>
      </c>
      <c r="M180" s="8" t="s">
        <v>49</v>
      </c>
      <c r="N180" s="10">
        <v>243.88</v>
      </c>
      <c r="O180" s="10">
        <v>580.66</v>
      </c>
      <c r="P180" s="8" t="s">
        <v>61</v>
      </c>
      <c r="Q180" s="10">
        <v>29.73</v>
      </c>
      <c r="R180" s="10">
        <f xml:space="preserve"> Table1_2[[#This Row],[Yield (Kg/Ha)]]/Table1_2[[#This Row],[Area (Hectares)]]</f>
        <v>60.491432828408236</v>
      </c>
      <c r="S180" s="10">
        <f>Table1_2[[#This Row],[Yield per Acre]]/Table1_2[[#This Row],[Yield (Kg/Ha)]]</f>
        <v>2.4832381425378691E-2</v>
      </c>
      <c r="T180" s="11">
        <f>Table1_2[[#This Row],[Yield per Acre]]/N180</f>
        <v>0.24803769406432769</v>
      </c>
    </row>
    <row r="181" spans="1:20" x14ac:dyDescent="0.3">
      <c r="A181" s="8" t="s">
        <v>246</v>
      </c>
      <c r="B181" s="9">
        <v>2017</v>
      </c>
      <c r="C181" s="9" t="str">
        <f t="shared" si="2"/>
        <v>1905-07</v>
      </c>
      <c r="D181" s="10">
        <v>2017</v>
      </c>
      <c r="E181" s="8" t="s">
        <v>31</v>
      </c>
      <c r="F181" s="8" t="s">
        <v>117</v>
      </c>
      <c r="G181" s="8" t="s">
        <v>38</v>
      </c>
      <c r="H181" s="8" t="s">
        <v>64</v>
      </c>
      <c r="I181" s="10">
        <v>80.48</v>
      </c>
      <c r="J181" s="10">
        <v>429.32</v>
      </c>
      <c r="K181" s="10">
        <v>5334.48</v>
      </c>
      <c r="L181" s="8" t="s">
        <v>34</v>
      </c>
      <c r="M181" s="8" t="s">
        <v>41</v>
      </c>
      <c r="N181" s="10">
        <v>278.58</v>
      </c>
      <c r="O181" s="10">
        <v>570.70000000000005</v>
      </c>
      <c r="P181" s="8" t="s">
        <v>52</v>
      </c>
      <c r="Q181" s="10">
        <v>20.69</v>
      </c>
      <c r="R181" s="10">
        <f xml:space="preserve"> Table1_2[[#This Row],[Yield (Kg/Ha)]]/Table1_2[[#This Row],[Area (Hectares)]]</f>
        <v>66.283300198807154</v>
      </c>
      <c r="S181" s="10">
        <f>Table1_2[[#This Row],[Yield per Acre]]/Table1_2[[#This Row],[Yield (Kg/Ha)]]</f>
        <v>1.2425447316103381E-2</v>
      </c>
      <c r="T181" s="11">
        <f>Table1_2[[#This Row],[Yield per Acre]]/N181</f>
        <v>0.23793273098861067</v>
      </c>
    </row>
    <row r="182" spans="1:20" x14ac:dyDescent="0.3">
      <c r="A182" s="8" t="s">
        <v>247</v>
      </c>
      <c r="B182" s="9">
        <v>2018</v>
      </c>
      <c r="C182" s="9" t="str">
        <f t="shared" si="2"/>
        <v>1905-07</v>
      </c>
      <c r="D182" s="10">
        <v>2018</v>
      </c>
      <c r="E182" s="8" t="s">
        <v>25</v>
      </c>
      <c r="F182" s="8" t="s">
        <v>87</v>
      </c>
      <c r="G182" s="8" t="s">
        <v>19</v>
      </c>
      <c r="H182" s="8" t="s">
        <v>27</v>
      </c>
      <c r="I182" s="10">
        <v>72.28</v>
      </c>
      <c r="J182" s="10">
        <v>200.3</v>
      </c>
      <c r="K182" s="10">
        <v>2771.15</v>
      </c>
      <c r="L182" s="8" t="s">
        <v>40</v>
      </c>
      <c r="M182" s="8" t="s">
        <v>49</v>
      </c>
      <c r="N182" s="10">
        <v>132.47</v>
      </c>
      <c r="O182" s="10">
        <v>579.84</v>
      </c>
      <c r="P182" s="8" t="s">
        <v>42</v>
      </c>
      <c r="Q182" s="10">
        <v>27.49</v>
      </c>
      <c r="R182" s="10">
        <f xml:space="preserve"> Table1_2[[#This Row],[Yield (Kg/Ha)]]/Table1_2[[#This Row],[Area (Hectares)]]</f>
        <v>38.339097952407307</v>
      </c>
      <c r="S182" s="10">
        <f>Table1_2[[#This Row],[Yield per Acre]]/Table1_2[[#This Row],[Yield (Kg/Ha)]]</f>
        <v>1.3835085777531821E-2</v>
      </c>
      <c r="T182" s="11">
        <f>Table1_2[[#This Row],[Yield per Acre]]/N182</f>
        <v>0.2894172110848291</v>
      </c>
    </row>
    <row r="183" spans="1:20" x14ac:dyDescent="0.3">
      <c r="A183" s="8" t="s">
        <v>248</v>
      </c>
      <c r="B183" s="9">
        <v>2021</v>
      </c>
      <c r="C183" s="9" t="str">
        <f t="shared" si="2"/>
        <v>1905-07</v>
      </c>
      <c r="D183" s="10">
        <v>2021</v>
      </c>
      <c r="E183" s="8" t="s">
        <v>31</v>
      </c>
      <c r="F183" s="8" t="s">
        <v>32</v>
      </c>
      <c r="G183" s="8" t="s">
        <v>19</v>
      </c>
      <c r="H183" s="8" t="s">
        <v>39</v>
      </c>
      <c r="I183" s="10">
        <v>49.57</v>
      </c>
      <c r="J183" s="10">
        <v>99.61</v>
      </c>
      <c r="K183" s="10">
        <v>2009.4</v>
      </c>
      <c r="L183" s="8" t="s">
        <v>34</v>
      </c>
      <c r="M183" s="8" t="s">
        <v>47</v>
      </c>
      <c r="N183" s="10">
        <v>92.32</v>
      </c>
      <c r="O183" s="10">
        <v>920.31</v>
      </c>
      <c r="P183" s="8" t="s">
        <v>52</v>
      </c>
      <c r="Q183" s="10">
        <v>22.76</v>
      </c>
      <c r="R183" s="10">
        <f xml:space="preserve"> Table1_2[[#This Row],[Yield (Kg/Ha)]]/Table1_2[[#This Row],[Area (Hectares)]]</f>
        <v>40.536614888037121</v>
      </c>
      <c r="S183" s="10">
        <f>Table1_2[[#This Row],[Yield per Acre]]/Table1_2[[#This Row],[Yield (Kg/Ha)]]</f>
        <v>2.0173492031470647E-2</v>
      </c>
      <c r="T183" s="11">
        <f>Table1_2[[#This Row],[Yield per Acre]]/N183</f>
        <v>0.43908811620490817</v>
      </c>
    </row>
    <row r="184" spans="1:20" x14ac:dyDescent="0.3">
      <c r="A184" s="8" t="s">
        <v>249</v>
      </c>
      <c r="B184" s="9">
        <v>2018</v>
      </c>
      <c r="C184" s="9" t="str">
        <f t="shared" si="2"/>
        <v>1905-07</v>
      </c>
      <c r="D184" s="10">
        <v>2018</v>
      </c>
      <c r="E184" s="8" t="s">
        <v>17</v>
      </c>
      <c r="F184" s="8" t="s">
        <v>18</v>
      </c>
      <c r="G184" s="8" t="s">
        <v>33</v>
      </c>
      <c r="H184" s="8" t="s">
        <v>64</v>
      </c>
      <c r="I184" s="10">
        <v>94.57</v>
      </c>
      <c r="J184" s="10">
        <v>473.73</v>
      </c>
      <c r="K184" s="10">
        <v>5009.29</v>
      </c>
      <c r="L184" s="8" t="s">
        <v>21</v>
      </c>
      <c r="M184" s="8" t="s">
        <v>22</v>
      </c>
      <c r="N184" s="10">
        <v>153.1</v>
      </c>
      <c r="O184" s="10">
        <v>1042.54</v>
      </c>
      <c r="P184" s="8" t="s">
        <v>42</v>
      </c>
      <c r="Q184" s="10">
        <v>21.02</v>
      </c>
      <c r="R184" s="10">
        <f xml:space="preserve"> Table1_2[[#This Row],[Yield (Kg/Ha)]]/Table1_2[[#This Row],[Area (Hectares)]]</f>
        <v>52.969123400655604</v>
      </c>
      <c r="S184" s="10">
        <f>Table1_2[[#This Row],[Yield per Acre]]/Table1_2[[#This Row],[Yield (Kg/Ha)]]</f>
        <v>1.0574177857671568E-2</v>
      </c>
      <c r="T184" s="11">
        <f>Table1_2[[#This Row],[Yield per Acre]]/N184</f>
        <v>0.34597729197031746</v>
      </c>
    </row>
    <row r="185" spans="1:20" x14ac:dyDescent="0.3">
      <c r="A185" s="8" t="s">
        <v>250</v>
      </c>
      <c r="B185" s="9">
        <v>2017</v>
      </c>
      <c r="C185" s="9" t="str">
        <f t="shared" si="2"/>
        <v>1905-07</v>
      </c>
      <c r="D185" s="10">
        <v>2017</v>
      </c>
      <c r="E185" s="8" t="s">
        <v>103</v>
      </c>
      <c r="F185" s="8" t="s">
        <v>228</v>
      </c>
      <c r="G185" s="8" t="s">
        <v>38</v>
      </c>
      <c r="H185" s="8" t="s">
        <v>64</v>
      </c>
      <c r="I185" s="10">
        <v>62.17</v>
      </c>
      <c r="J185" s="10">
        <v>310.88</v>
      </c>
      <c r="K185" s="10">
        <v>5000.53</v>
      </c>
      <c r="L185" s="8" t="s">
        <v>28</v>
      </c>
      <c r="M185" s="8" t="s">
        <v>22</v>
      </c>
      <c r="N185" s="10">
        <v>214.82</v>
      </c>
      <c r="O185" s="10">
        <v>215.73</v>
      </c>
      <c r="P185" s="8" t="s">
        <v>61</v>
      </c>
      <c r="Q185" s="10">
        <v>28.27</v>
      </c>
      <c r="R185" s="10">
        <f xml:space="preserve"> Table1_2[[#This Row],[Yield (Kg/Ha)]]/Table1_2[[#This Row],[Area (Hectares)]]</f>
        <v>80.433167122406303</v>
      </c>
      <c r="S185" s="10">
        <f>Table1_2[[#This Row],[Yield per Acre]]/Table1_2[[#This Row],[Yield (Kg/Ha)]]</f>
        <v>1.6084928422068521E-2</v>
      </c>
      <c r="T185" s="11">
        <f>Table1_2[[#This Row],[Yield per Acre]]/N185</f>
        <v>0.37442122298857788</v>
      </c>
    </row>
    <row r="186" spans="1:20" x14ac:dyDescent="0.3">
      <c r="A186" s="8" t="s">
        <v>251</v>
      </c>
      <c r="B186" s="9">
        <v>2014</v>
      </c>
      <c r="C186" s="9" t="str">
        <f t="shared" si="2"/>
        <v>1905-07</v>
      </c>
      <c r="D186" s="10">
        <v>2014</v>
      </c>
      <c r="E186" s="8" t="s">
        <v>59</v>
      </c>
      <c r="F186" s="8" t="s">
        <v>93</v>
      </c>
      <c r="G186" s="8" t="s">
        <v>19</v>
      </c>
      <c r="H186" s="8" t="s">
        <v>20</v>
      </c>
      <c r="I186" s="10">
        <v>2.7</v>
      </c>
      <c r="J186" s="10">
        <v>15.87</v>
      </c>
      <c r="K186" s="10">
        <v>5878.94</v>
      </c>
      <c r="L186" s="8" t="s">
        <v>28</v>
      </c>
      <c r="M186" s="8" t="s">
        <v>41</v>
      </c>
      <c r="N186" s="10">
        <v>251.54</v>
      </c>
      <c r="O186" s="10">
        <v>1109.77</v>
      </c>
      <c r="P186" s="8" t="s">
        <v>23</v>
      </c>
      <c r="Q186" s="10">
        <v>33.770000000000003</v>
      </c>
      <c r="R186" s="10">
        <f xml:space="preserve"> Table1_2[[#This Row],[Yield (Kg/Ha)]]/Table1_2[[#This Row],[Area (Hectares)]]</f>
        <v>2177.385185185185</v>
      </c>
      <c r="S186" s="10">
        <f>Table1_2[[#This Row],[Yield per Acre]]/Table1_2[[#This Row],[Yield (Kg/Ha)]]</f>
        <v>0.37037037037037035</v>
      </c>
      <c r="T186" s="11">
        <f>Table1_2[[#This Row],[Yield per Acre]]/N186</f>
        <v>8.6562184351800315</v>
      </c>
    </row>
    <row r="187" spans="1:20" x14ac:dyDescent="0.3">
      <c r="A187" s="8" t="s">
        <v>252</v>
      </c>
      <c r="B187" s="9">
        <v>2019</v>
      </c>
      <c r="C187" s="9" t="str">
        <f t="shared" si="2"/>
        <v>1905-07</v>
      </c>
      <c r="D187" s="10">
        <v>2019</v>
      </c>
      <c r="E187" s="8" t="s">
        <v>103</v>
      </c>
      <c r="F187" s="8" t="s">
        <v>104</v>
      </c>
      <c r="G187" s="8" t="s">
        <v>19</v>
      </c>
      <c r="H187" s="8" t="s">
        <v>20</v>
      </c>
      <c r="I187" s="10">
        <v>81.709999999999994</v>
      </c>
      <c r="J187" s="10">
        <v>212.77</v>
      </c>
      <c r="K187" s="10">
        <v>2603.9499999999998</v>
      </c>
      <c r="L187" s="8" t="s">
        <v>28</v>
      </c>
      <c r="M187" s="8" t="s">
        <v>41</v>
      </c>
      <c r="N187" s="10">
        <v>69.75</v>
      </c>
      <c r="O187" s="10">
        <v>1159.3</v>
      </c>
      <c r="P187" s="8" t="s">
        <v>52</v>
      </c>
      <c r="Q187" s="10">
        <v>28.48</v>
      </c>
      <c r="R187" s="10">
        <f xml:space="preserve"> Table1_2[[#This Row],[Yield (Kg/Ha)]]/Table1_2[[#This Row],[Area (Hectares)]]</f>
        <v>31.868192387712643</v>
      </c>
      <c r="S187" s="10">
        <f>Table1_2[[#This Row],[Yield per Acre]]/Table1_2[[#This Row],[Yield (Kg/Ha)]]</f>
        <v>1.2238404112103782E-2</v>
      </c>
      <c r="T187" s="11">
        <f>Table1_2[[#This Row],[Yield per Acre]]/N187</f>
        <v>0.45689164713566516</v>
      </c>
    </row>
    <row r="188" spans="1:20" x14ac:dyDescent="0.3">
      <c r="A188" s="8" t="s">
        <v>253</v>
      </c>
      <c r="B188" s="9">
        <v>2011</v>
      </c>
      <c r="C188" s="9" t="str">
        <f t="shared" si="2"/>
        <v>1905-07</v>
      </c>
      <c r="D188" s="10">
        <v>2011</v>
      </c>
      <c r="E188" s="8" t="s">
        <v>31</v>
      </c>
      <c r="F188" s="8" t="s">
        <v>117</v>
      </c>
      <c r="G188" s="8" t="s">
        <v>19</v>
      </c>
      <c r="H188" s="8" t="s">
        <v>39</v>
      </c>
      <c r="I188" s="10">
        <v>76.2</v>
      </c>
      <c r="J188" s="10">
        <v>118.95</v>
      </c>
      <c r="K188" s="10">
        <v>1561</v>
      </c>
      <c r="L188" s="8" t="s">
        <v>28</v>
      </c>
      <c r="M188" s="8" t="s">
        <v>29</v>
      </c>
      <c r="N188" s="10">
        <v>144.29</v>
      </c>
      <c r="O188" s="10">
        <v>676.01</v>
      </c>
      <c r="P188" s="8" t="s">
        <v>23</v>
      </c>
      <c r="Q188" s="10">
        <v>30.54</v>
      </c>
      <c r="R188" s="10">
        <f xml:space="preserve"> Table1_2[[#This Row],[Yield (Kg/Ha)]]/Table1_2[[#This Row],[Area (Hectares)]]</f>
        <v>20.485564304461942</v>
      </c>
      <c r="S188" s="10">
        <f>Table1_2[[#This Row],[Yield per Acre]]/Table1_2[[#This Row],[Yield (Kg/Ha)]]</f>
        <v>1.3123359580052493E-2</v>
      </c>
      <c r="T188" s="11">
        <f>Table1_2[[#This Row],[Yield per Acre]]/N188</f>
        <v>0.1419749414683065</v>
      </c>
    </row>
    <row r="189" spans="1:20" x14ac:dyDescent="0.3">
      <c r="A189" s="8" t="s">
        <v>254</v>
      </c>
      <c r="B189" s="9">
        <v>2020</v>
      </c>
      <c r="C189" s="9" t="str">
        <f t="shared" si="2"/>
        <v>1905-07</v>
      </c>
      <c r="D189" s="10">
        <v>2020</v>
      </c>
      <c r="E189" s="8" t="s">
        <v>44</v>
      </c>
      <c r="F189" s="8" t="s">
        <v>99</v>
      </c>
      <c r="G189" s="8" t="s">
        <v>38</v>
      </c>
      <c r="H189" s="8" t="s">
        <v>27</v>
      </c>
      <c r="I189" s="10">
        <v>97.76</v>
      </c>
      <c r="J189" s="10">
        <v>668.98</v>
      </c>
      <c r="K189" s="10">
        <v>6843.04</v>
      </c>
      <c r="L189" s="8" t="s">
        <v>21</v>
      </c>
      <c r="M189" s="8" t="s">
        <v>22</v>
      </c>
      <c r="N189" s="10">
        <v>107.44</v>
      </c>
      <c r="O189" s="10">
        <v>1101.27</v>
      </c>
      <c r="P189" s="8" t="s">
        <v>61</v>
      </c>
      <c r="Q189" s="10">
        <v>27.13</v>
      </c>
      <c r="R189" s="10">
        <f xml:space="preserve"> Table1_2[[#This Row],[Yield (Kg/Ha)]]/Table1_2[[#This Row],[Area (Hectares)]]</f>
        <v>69.998363338788863</v>
      </c>
      <c r="S189" s="10">
        <f>Table1_2[[#This Row],[Yield per Acre]]/Table1_2[[#This Row],[Yield (Kg/Ha)]]</f>
        <v>1.02291325695581E-2</v>
      </c>
      <c r="T189" s="11">
        <f>Table1_2[[#This Row],[Yield per Acre]]/N189</f>
        <v>0.65151120010041763</v>
      </c>
    </row>
    <row r="190" spans="1:20" x14ac:dyDescent="0.3">
      <c r="A190" s="8" t="s">
        <v>255</v>
      </c>
      <c r="B190" s="9">
        <v>2018</v>
      </c>
      <c r="C190" s="9" t="str">
        <f t="shared" si="2"/>
        <v>1905-07</v>
      </c>
      <c r="D190" s="10">
        <v>2018</v>
      </c>
      <c r="E190" s="8" t="s">
        <v>17</v>
      </c>
      <c r="F190" s="8" t="s">
        <v>72</v>
      </c>
      <c r="G190" s="8" t="s">
        <v>19</v>
      </c>
      <c r="H190" s="8" t="s">
        <v>39</v>
      </c>
      <c r="I190" s="10">
        <v>4.26</v>
      </c>
      <c r="J190" s="10">
        <v>28</v>
      </c>
      <c r="K190" s="10">
        <v>6572.6</v>
      </c>
      <c r="L190" s="8" t="s">
        <v>34</v>
      </c>
      <c r="M190" s="8" t="s">
        <v>29</v>
      </c>
      <c r="N190" s="10">
        <v>53.91</v>
      </c>
      <c r="O190" s="10">
        <v>407.16</v>
      </c>
      <c r="P190" s="8" t="s">
        <v>42</v>
      </c>
      <c r="Q190" s="10">
        <v>31.28</v>
      </c>
      <c r="R190" s="10">
        <f xml:space="preserve"> Table1_2[[#This Row],[Yield (Kg/Ha)]]/Table1_2[[#This Row],[Area (Hectares)]]</f>
        <v>1542.8638497652585</v>
      </c>
      <c r="S190" s="10">
        <f>Table1_2[[#This Row],[Yield per Acre]]/Table1_2[[#This Row],[Yield (Kg/Ha)]]</f>
        <v>0.23474178403755872</v>
      </c>
      <c r="T190" s="11">
        <f>Table1_2[[#This Row],[Yield per Acre]]/N190</f>
        <v>28.619251525974004</v>
      </c>
    </row>
    <row r="191" spans="1:20" x14ac:dyDescent="0.3">
      <c r="A191" s="8" t="s">
        <v>256</v>
      </c>
      <c r="B191" s="9">
        <v>2012</v>
      </c>
      <c r="C191" s="9" t="str">
        <f t="shared" si="2"/>
        <v>1905-07</v>
      </c>
      <c r="D191" s="10">
        <v>2012</v>
      </c>
      <c r="E191" s="8" t="s">
        <v>25</v>
      </c>
      <c r="F191" s="8" t="s">
        <v>87</v>
      </c>
      <c r="G191" s="8" t="s">
        <v>19</v>
      </c>
      <c r="H191" s="8" t="s">
        <v>56</v>
      </c>
      <c r="I191" s="10">
        <v>57.1</v>
      </c>
      <c r="J191" s="10">
        <v>348.12</v>
      </c>
      <c r="K191" s="10">
        <v>6096.65</v>
      </c>
      <c r="L191" s="8" t="s">
        <v>34</v>
      </c>
      <c r="M191" s="8" t="s">
        <v>22</v>
      </c>
      <c r="N191" s="10">
        <v>145.96</v>
      </c>
      <c r="O191" s="10">
        <v>939.75</v>
      </c>
      <c r="P191" s="8" t="s">
        <v>23</v>
      </c>
      <c r="Q191" s="10">
        <v>27.51</v>
      </c>
      <c r="R191" s="10">
        <f xml:space="preserve"> Table1_2[[#This Row],[Yield (Kg/Ha)]]/Table1_2[[#This Row],[Area (Hectares)]]</f>
        <v>106.77145359019264</v>
      </c>
      <c r="S191" s="10">
        <f>Table1_2[[#This Row],[Yield per Acre]]/Table1_2[[#This Row],[Yield (Kg/Ha)]]</f>
        <v>1.7513134851138354E-2</v>
      </c>
      <c r="T191" s="11">
        <f>Table1_2[[#This Row],[Yield per Acre]]/N191</f>
        <v>0.73151174013560316</v>
      </c>
    </row>
    <row r="192" spans="1:20" x14ac:dyDescent="0.3">
      <c r="A192" s="8" t="s">
        <v>257</v>
      </c>
      <c r="B192" s="9">
        <v>2013</v>
      </c>
      <c r="C192" s="9" t="str">
        <f t="shared" si="2"/>
        <v>1905-07</v>
      </c>
      <c r="D192" s="10">
        <v>2013</v>
      </c>
      <c r="E192" s="8" t="s">
        <v>25</v>
      </c>
      <c r="F192" s="8" t="s">
        <v>87</v>
      </c>
      <c r="G192" s="8" t="s">
        <v>33</v>
      </c>
      <c r="H192" s="8" t="s">
        <v>20</v>
      </c>
      <c r="I192" s="10">
        <v>60.91</v>
      </c>
      <c r="J192" s="10">
        <v>285.25</v>
      </c>
      <c r="K192" s="10">
        <v>4683.1899999999996</v>
      </c>
      <c r="L192" s="8" t="s">
        <v>28</v>
      </c>
      <c r="M192" s="8" t="s">
        <v>29</v>
      </c>
      <c r="N192" s="10">
        <v>292.23</v>
      </c>
      <c r="O192" s="10">
        <v>526.38</v>
      </c>
      <c r="P192" s="8" t="s">
        <v>70</v>
      </c>
      <c r="Q192" s="10">
        <v>31.75</v>
      </c>
      <c r="R192" s="10">
        <f xml:space="preserve"> Table1_2[[#This Row],[Yield (Kg/Ha)]]/Table1_2[[#This Row],[Area (Hectares)]]</f>
        <v>76.887046461993108</v>
      </c>
      <c r="S192" s="10">
        <f>Table1_2[[#This Row],[Yield per Acre]]/Table1_2[[#This Row],[Yield (Kg/Ha)]]</f>
        <v>1.6417665407978989E-2</v>
      </c>
      <c r="T192" s="11">
        <f>Table1_2[[#This Row],[Yield per Acre]]/N192</f>
        <v>0.26310456305647301</v>
      </c>
    </row>
    <row r="193" spans="1:20" x14ac:dyDescent="0.3">
      <c r="A193" s="8" t="s">
        <v>258</v>
      </c>
      <c r="B193" s="9">
        <v>2018</v>
      </c>
      <c r="C193" s="9" t="str">
        <f t="shared" si="2"/>
        <v>1905-07</v>
      </c>
      <c r="D193" s="10">
        <v>2018</v>
      </c>
      <c r="E193" s="8" t="s">
        <v>103</v>
      </c>
      <c r="F193" s="8" t="s">
        <v>107</v>
      </c>
      <c r="G193" s="8" t="s">
        <v>38</v>
      </c>
      <c r="H193" s="8" t="s">
        <v>46</v>
      </c>
      <c r="I193" s="10">
        <v>19.39</v>
      </c>
      <c r="J193" s="10">
        <v>87.55</v>
      </c>
      <c r="K193" s="10">
        <v>4515.25</v>
      </c>
      <c r="L193" s="8" t="s">
        <v>28</v>
      </c>
      <c r="M193" s="8" t="s">
        <v>49</v>
      </c>
      <c r="N193" s="10">
        <v>71.42</v>
      </c>
      <c r="O193" s="10">
        <v>818.62</v>
      </c>
      <c r="P193" s="8" t="s">
        <v>42</v>
      </c>
      <c r="Q193" s="10">
        <v>30.7</v>
      </c>
      <c r="R193" s="10">
        <f xml:space="preserve"> Table1_2[[#This Row],[Yield (Kg/Ha)]]/Table1_2[[#This Row],[Area (Hectares)]]</f>
        <v>232.86487880350697</v>
      </c>
      <c r="S193" s="10">
        <f>Table1_2[[#This Row],[Yield per Acre]]/Table1_2[[#This Row],[Yield (Kg/Ha)]]</f>
        <v>5.1572975760701391E-2</v>
      </c>
      <c r="T193" s="11">
        <f>Table1_2[[#This Row],[Yield per Acre]]/N193</f>
        <v>3.2604995631966811</v>
      </c>
    </row>
    <row r="194" spans="1:20" x14ac:dyDescent="0.3">
      <c r="A194" s="8" t="s">
        <v>259</v>
      </c>
      <c r="B194" s="9">
        <v>2021</v>
      </c>
      <c r="C194" s="9" t="str">
        <f t="shared" ref="C194:C257" si="3">TEXT(B194,"YYYY-MM")</f>
        <v>1905-07</v>
      </c>
      <c r="D194" s="10">
        <v>2021</v>
      </c>
      <c r="E194" s="8" t="s">
        <v>103</v>
      </c>
      <c r="F194" s="8" t="s">
        <v>107</v>
      </c>
      <c r="G194" s="8" t="s">
        <v>19</v>
      </c>
      <c r="H194" s="8" t="s">
        <v>56</v>
      </c>
      <c r="I194" s="10">
        <v>74.23</v>
      </c>
      <c r="J194" s="10">
        <v>215.27</v>
      </c>
      <c r="K194" s="10">
        <v>2900.07</v>
      </c>
      <c r="L194" s="8" t="s">
        <v>21</v>
      </c>
      <c r="M194" s="8" t="s">
        <v>22</v>
      </c>
      <c r="N194" s="10">
        <v>72.88</v>
      </c>
      <c r="O194" s="10">
        <v>1142.96</v>
      </c>
      <c r="P194" s="8" t="s">
        <v>52</v>
      </c>
      <c r="Q194" s="10">
        <v>25.4</v>
      </c>
      <c r="R194" s="10">
        <f xml:space="preserve"> Table1_2[[#This Row],[Yield (Kg/Ha)]]/Table1_2[[#This Row],[Area (Hectares)]]</f>
        <v>39.068705375185232</v>
      </c>
      <c r="S194" s="10">
        <f>Table1_2[[#This Row],[Yield per Acre]]/Table1_2[[#This Row],[Yield (Kg/Ha)]]</f>
        <v>1.3471642193183347E-2</v>
      </c>
      <c r="T194" s="11">
        <f>Table1_2[[#This Row],[Yield per Acre]]/N194</f>
        <v>0.53606895410517608</v>
      </c>
    </row>
    <row r="195" spans="1:20" x14ac:dyDescent="0.3">
      <c r="A195" s="8" t="s">
        <v>260</v>
      </c>
      <c r="B195" s="9">
        <v>2013</v>
      </c>
      <c r="C195" s="9" t="str">
        <f t="shared" si="3"/>
        <v>1905-07</v>
      </c>
      <c r="D195" s="10">
        <v>2012</v>
      </c>
      <c r="E195" s="8" t="s">
        <v>103</v>
      </c>
      <c r="F195" s="8" t="s">
        <v>104</v>
      </c>
      <c r="G195" s="8" t="s">
        <v>38</v>
      </c>
      <c r="H195" s="8" t="s">
        <v>46</v>
      </c>
      <c r="I195" s="10">
        <v>56.14</v>
      </c>
      <c r="J195" s="10">
        <v>228.75</v>
      </c>
      <c r="K195" s="10">
        <v>4074.65</v>
      </c>
      <c r="L195" s="8" t="s">
        <v>21</v>
      </c>
      <c r="M195" s="8" t="s">
        <v>29</v>
      </c>
      <c r="N195" s="10">
        <v>56.57</v>
      </c>
      <c r="O195" s="10">
        <v>553.91</v>
      </c>
      <c r="P195" s="8" t="s">
        <v>23</v>
      </c>
      <c r="Q195" s="10">
        <v>28.95</v>
      </c>
      <c r="R195" s="10">
        <f xml:space="preserve"> Table1_2[[#This Row],[Yield (Kg/Ha)]]/Table1_2[[#This Row],[Area (Hectares)]]</f>
        <v>72.580156750979697</v>
      </c>
      <c r="S195" s="10">
        <f>Table1_2[[#This Row],[Yield per Acre]]/Table1_2[[#This Row],[Yield (Kg/Ha)]]</f>
        <v>1.7812611328820806E-2</v>
      </c>
      <c r="T195" s="11">
        <f>Table1_2[[#This Row],[Yield per Acre]]/N195</f>
        <v>1.2830149681983329</v>
      </c>
    </row>
    <row r="196" spans="1:20" x14ac:dyDescent="0.3">
      <c r="A196" s="8" t="s">
        <v>261</v>
      </c>
      <c r="B196" s="9">
        <v>2017</v>
      </c>
      <c r="C196" s="9" t="str">
        <f t="shared" si="3"/>
        <v>1905-07</v>
      </c>
      <c r="D196" s="10">
        <v>2016</v>
      </c>
      <c r="E196" s="8" t="s">
        <v>25</v>
      </c>
      <c r="F196" s="8" t="s">
        <v>87</v>
      </c>
      <c r="G196" s="8" t="s">
        <v>38</v>
      </c>
      <c r="H196" s="8" t="s">
        <v>64</v>
      </c>
      <c r="I196" s="10">
        <v>72.760000000000005</v>
      </c>
      <c r="J196" s="10">
        <v>317.02999999999997</v>
      </c>
      <c r="K196" s="10">
        <v>4357.22</v>
      </c>
      <c r="L196" s="8" t="s">
        <v>40</v>
      </c>
      <c r="M196" s="8" t="s">
        <v>49</v>
      </c>
      <c r="N196" s="10">
        <v>192.99</v>
      </c>
      <c r="O196" s="10">
        <v>369.58</v>
      </c>
      <c r="P196" s="8" t="s">
        <v>52</v>
      </c>
      <c r="Q196" s="10">
        <v>22.54</v>
      </c>
      <c r="R196" s="10">
        <f xml:space="preserve"> Table1_2[[#This Row],[Yield (Kg/Ha)]]/Table1_2[[#This Row],[Area (Hectares)]]</f>
        <v>59.884826827927434</v>
      </c>
      <c r="S196" s="10">
        <f>Table1_2[[#This Row],[Yield per Acre]]/Table1_2[[#This Row],[Yield (Kg/Ha)]]</f>
        <v>1.3743815283122594E-2</v>
      </c>
      <c r="T196" s="11">
        <f>Table1_2[[#This Row],[Yield per Acre]]/N196</f>
        <v>0.31030015455685495</v>
      </c>
    </row>
    <row r="197" spans="1:20" x14ac:dyDescent="0.3">
      <c r="A197" s="8" t="s">
        <v>262</v>
      </c>
      <c r="B197" s="9">
        <v>2012</v>
      </c>
      <c r="C197" s="9" t="str">
        <f t="shared" si="3"/>
        <v>1905-07</v>
      </c>
      <c r="D197" s="10">
        <v>2012</v>
      </c>
      <c r="E197" s="8" t="s">
        <v>31</v>
      </c>
      <c r="F197" s="8" t="s">
        <v>32</v>
      </c>
      <c r="G197" s="8" t="s">
        <v>33</v>
      </c>
      <c r="H197" s="8" t="s">
        <v>56</v>
      </c>
      <c r="I197" s="10">
        <v>44.03</v>
      </c>
      <c r="J197" s="10">
        <v>155.28</v>
      </c>
      <c r="K197" s="10">
        <v>3526.61</v>
      </c>
      <c r="L197" s="8" t="s">
        <v>28</v>
      </c>
      <c r="M197" s="8" t="s">
        <v>47</v>
      </c>
      <c r="N197" s="10">
        <v>245.67</v>
      </c>
      <c r="O197" s="10">
        <v>561.12</v>
      </c>
      <c r="P197" s="8" t="s">
        <v>42</v>
      </c>
      <c r="Q197" s="10">
        <v>30.81</v>
      </c>
      <c r="R197" s="10">
        <f xml:space="preserve"> Table1_2[[#This Row],[Yield (Kg/Ha)]]/Table1_2[[#This Row],[Area (Hectares)]]</f>
        <v>80.095616625028384</v>
      </c>
      <c r="S197" s="10">
        <f>Table1_2[[#This Row],[Yield per Acre]]/Table1_2[[#This Row],[Yield (Kg/Ha)]]</f>
        <v>2.2711787417669767E-2</v>
      </c>
      <c r="T197" s="11">
        <f>Table1_2[[#This Row],[Yield per Acre]]/N197</f>
        <v>0.32602929386994095</v>
      </c>
    </row>
    <row r="198" spans="1:20" x14ac:dyDescent="0.3">
      <c r="A198" s="8" t="s">
        <v>263</v>
      </c>
      <c r="B198" s="9">
        <v>2017</v>
      </c>
      <c r="C198" s="9" t="str">
        <f t="shared" si="3"/>
        <v>1905-07</v>
      </c>
      <c r="D198" s="10">
        <v>2017</v>
      </c>
      <c r="E198" s="8" t="s">
        <v>59</v>
      </c>
      <c r="F198" s="8" t="s">
        <v>60</v>
      </c>
      <c r="G198" s="8" t="s">
        <v>33</v>
      </c>
      <c r="H198" s="8" t="s">
        <v>56</v>
      </c>
      <c r="I198" s="10">
        <v>31.16</v>
      </c>
      <c r="J198" s="10">
        <v>208.55</v>
      </c>
      <c r="K198" s="10">
        <v>6692.94</v>
      </c>
      <c r="L198" s="8" t="s">
        <v>34</v>
      </c>
      <c r="M198" s="8" t="s">
        <v>47</v>
      </c>
      <c r="N198" s="10">
        <v>260.39999999999998</v>
      </c>
      <c r="O198" s="10">
        <v>579.89</v>
      </c>
      <c r="P198" s="8" t="s">
        <v>70</v>
      </c>
      <c r="Q198" s="10">
        <v>26.6</v>
      </c>
      <c r="R198" s="10">
        <f xml:space="preserve"> Table1_2[[#This Row],[Yield (Kg/Ha)]]/Table1_2[[#This Row],[Area (Hectares)]]</f>
        <v>214.79268292682926</v>
      </c>
      <c r="S198" s="10">
        <f>Table1_2[[#This Row],[Yield per Acre]]/Table1_2[[#This Row],[Yield (Kg/Ha)]]</f>
        <v>3.2092426187419767E-2</v>
      </c>
      <c r="T198" s="11">
        <f>Table1_2[[#This Row],[Yield per Acre]]/N198</f>
        <v>0.82485669326739353</v>
      </c>
    </row>
    <row r="199" spans="1:20" x14ac:dyDescent="0.3">
      <c r="A199" s="8" t="s">
        <v>264</v>
      </c>
      <c r="B199" s="9">
        <v>2015</v>
      </c>
      <c r="C199" s="9" t="str">
        <f t="shared" si="3"/>
        <v>1905-07</v>
      </c>
      <c r="D199" s="10">
        <v>2015</v>
      </c>
      <c r="E199" s="8" t="s">
        <v>103</v>
      </c>
      <c r="F199" s="8" t="s">
        <v>107</v>
      </c>
      <c r="G199" s="8" t="s">
        <v>19</v>
      </c>
      <c r="H199" s="8" t="s">
        <v>39</v>
      </c>
      <c r="I199" s="10">
        <v>20.88</v>
      </c>
      <c r="J199" s="10">
        <v>60.24</v>
      </c>
      <c r="K199" s="10">
        <v>2885.1</v>
      </c>
      <c r="L199" s="8" t="s">
        <v>28</v>
      </c>
      <c r="M199" s="8" t="s">
        <v>41</v>
      </c>
      <c r="N199" s="10">
        <v>292.18</v>
      </c>
      <c r="O199" s="10">
        <v>491.45</v>
      </c>
      <c r="P199" s="8" t="s">
        <v>52</v>
      </c>
      <c r="Q199" s="10">
        <v>34.520000000000003</v>
      </c>
      <c r="R199" s="10">
        <f xml:space="preserve"> Table1_2[[#This Row],[Yield (Kg/Ha)]]/Table1_2[[#This Row],[Area (Hectares)]]</f>
        <v>138.17528735632183</v>
      </c>
      <c r="S199" s="10">
        <f>Table1_2[[#This Row],[Yield per Acre]]/Table1_2[[#This Row],[Yield (Kg/Ha)]]</f>
        <v>4.7892720306513412E-2</v>
      </c>
      <c r="T199" s="11">
        <f>Table1_2[[#This Row],[Yield per Acre]]/N199</f>
        <v>0.47291151809268883</v>
      </c>
    </row>
    <row r="200" spans="1:20" x14ac:dyDescent="0.3">
      <c r="A200" s="8" t="s">
        <v>265</v>
      </c>
      <c r="B200" s="9">
        <v>2014</v>
      </c>
      <c r="C200" s="9" t="str">
        <f t="shared" si="3"/>
        <v>1905-07</v>
      </c>
      <c r="D200" s="10">
        <v>2014</v>
      </c>
      <c r="E200" s="8" t="s">
        <v>31</v>
      </c>
      <c r="F200" s="8" t="s">
        <v>32</v>
      </c>
      <c r="G200" s="8" t="s">
        <v>38</v>
      </c>
      <c r="H200" s="8" t="s">
        <v>20</v>
      </c>
      <c r="I200" s="10">
        <v>12.27</v>
      </c>
      <c r="J200" s="10">
        <v>53.78</v>
      </c>
      <c r="K200" s="10">
        <v>4383.1000000000004</v>
      </c>
      <c r="L200" s="8" t="s">
        <v>40</v>
      </c>
      <c r="M200" s="8" t="s">
        <v>29</v>
      </c>
      <c r="N200" s="10">
        <v>220.43</v>
      </c>
      <c r="O200" s="10">
        <v>750.1</v>
      </c>
      <c r="P200" s="8" t="s">
        <v>52</v>
      </c>
      <c r="Q200" s="10">
        <v>34.14</v>
      </c>
      <c r="R200" s="10">
        <f xml:space="preserve"> Table1_2[[#This Row],[Yield (Kg/Ha)]]/Table1_2[[#This Row],[Area (Hectares)]]</f>
        <v>357.22086389568057</v>
      </c>
      <c r="S200" s="10">
        <f>Table1_2[[#This Row],[Yield per Acre]]/Table1_2[[#This Row],[Yield (Kg/Ha)]]</f>
        <v>8.1499592502037491E-2</v>
      </c>
      <c r="T200" s="11">
        <f>Table1_2[[#This Row],[Yield per Acre]]/N200</f>
        <v>1.6205637340456407</v>
      </c>
    </row>
    <row r="201" spans="1:20" x14ac:dyDescent="0.3">
      <c r="A201" s="8" t="s">
        <v>266</v>
      </c>
      <c r="B201" s="9">
        <v>2021</v>
      </c>
      <c r="C201" s="9" t="str">
        <f t="shared" si="3"/>
        <v>1905-07</v>
      </c>
      <c r="D201" s="10">
        <v>2021</v>
      </c>
      <c r="E201" s="8" t="s">
        <v>44</v>
      </c>
      <c r="F201" s="8" t="s">
        <v>99</v>
      </c>
      <c r="G201" s="8" t="s">
        <v>33</v>
      </c>
      <c r="H201" s="8" t="s">
        <v>46</v>
      </c>
      <c r="I201" s="10">
        <v>67.62</v>
      </c>
      <c r="J201" s="10">
        <v>124.09</v>
      </c>
      <c r="K201" s="10">
        <v>1835.07</v>
      </c>
      <c r="L201" s="8" t="s">
        <v>34</v>
      </c>
      <c r="M201" s="8" t="s">
        <v>29</v>
      </c>
      <c r="N201" s="10">
        <v>110.51</v>
      </c>
      <c r="O201" s="10">
        <v>858.66</v>
      </c>
      <c r="P201" s="8" t="s">
        <v>52</v>
      </c>
      <c r="Q201" s="10">
        <v>31.84</v>
      </c>
      <c r="R201" s="10">
        <f xml:space="preserve"> Table1_2[[#This Row],[Yield (Kg/Ha)]]/Table1_2[[#This Row],[Area (Hectares)]]</f>
        <v>27.137976929902393</v>
      </c>
      <c r="S201" s="10">
        <f>Table1_2[[#This Row],[Yield per Acre]]/Table1_2[[#This Row],[Yield (Kg/Ha)]]</f>
        <v>1.4788524105294291E-2</v>
      </c>
      <c r="T201" s="11">
        <f>Table1_2[[#This Row],[Yield per Acre]]/N201</f>
        <v>0.24557032784275082</v>
      </c>
    </row>
    <row r="202" spans="1:20" x14ac:dyDescent="0.3">
      <c r="A202" s="8" t="s">
        <v>267</v>
      </c>
      <c r="B202" s="9">
        <v>2020</v>
      </c>
      <c r="C202" s="9" t="str">
        <f t="shared" si="3"/>
        <v>1905-07</v>
      </c>
      <c r="D202" s="10">
        <v>2019</v>
      </c>
      <c r="E202" s="8" t="s">
        <v>59</v>
      </c>
      <c r="F202" s="8" t="s">
        <v>63</v>
      </c>
      <c r="G202" s="8" t="s">
        <v>38</v>
      </c>
      <c r="H202" s="8" t="s">
        <v>27</v>
      </c>
      <c r="I202" s="10">
        <v>51.15</v>
      </c>
      <c r="J202" s="10">
        <v>333.62</v>
      </c>
      <c r="K202" s="10">
        <v>6522.35</v>
      </c>
      <c r="L202" s="8" t="s">
        <v>28</v>
      </c>
      <c r="M202" s="8" t="s">
        <v>47</v>
      </c>
      <c r="N202" s="10">
        <v>185.91</v>
      </c>
      <c r="O202" s="10">
        <v>990.72</v>
      </c>
      <c r="P202" s="8" t="s">
        <v>70</v>
      </c>
      <c r="Q202" s="10">
        <v>30.52</v>
      </c>
      <c r="R202" s="10">
        <f xml:space="preserve"> Table1_2[[#This Row],[Yield (Kg/Ha)]]/Table1_2[[#This Row],[Area (Hectares)]]</f>
        <v>127.51417399804498</v>
      </c>
      <c r="S202" s="10">
        <f>Table1_2[[#This Row],[Yield per Acre]]/Table1_2[[#This Row],[Yield (Kg/Ha)]]</f>
        <v>1.9550342130987292E-2</v>
      </c>
      <c r="T202" s="11">
        <f>Table1_2[[#This Row],[Yield per Acre]]/N202</f>
        <v>0.68589195846401474</v>
      </c>
    </row>
    <row r="203" spans="1:20" x14ac:dyDescent="0.3">
      <c r="A203" s="8" t="s">
        <v>268</v>
      </c>
      <c r="B203" s="9">
        <v>2011</v>
      </c>
      <c r="C203" s="9" t="str">
        <f t="shared" si="3"/>
        <v>1905-07</v>
      </c>
      <c r="D203" s="10">
        <v>2011</v>
      </c>
      <c r="E203" s="8" t="s">
        <v>17</v>
      </c>
      <c r="F203" s="8" t="s">
        <v>18</v>
      </c>
      <c r="G203" s="8" t="s">
        <v>33</v>
      </c>
      <c r="H203" s="8" t="s">
        <v>39</v>
      </c>
      <c r="I203" s="10">
        <v>66.8</v>
      </c>
      <c r="J203" s="10">
        <v>133.47</v>
      </c>
      <c r="K203" s="10">
        <v>1998.03</v>
      </c>
      <c r="L203" s="8" t="s">
        <v>21</v>
      </c>
      <c r="M203" s="8" t="s">
        <v>29</v>
      </c>
      <c r="N203" s="10">
        <v>190.81</v>
      </c>
      <c r="O203" s="10">
        <v>845.03</v>
      </c>
      <c r="P203" s="8" t="s">
        <v>52</v>
      </c>
      <c r="Q203" s="10">
        <v>34.5</v>
      </c>
      <c r="R203" s="10">
        <f xml:space="preserve"> Table1_2[[#This Row],[Yield (Kg/Ha)]]/Table1_2[[#This Row],[Area (Hectares)]]</f>
        <v>29.91062874251497</v>
      </c>
      <c r="S203" s="10">
        <f>Table1_2[[#This Row],[Yield per Acre]]/Table1_2[[#This Row],[Yield (Kg/Ha)]]</f>
        <v>1.4970059880239521E-2</v>
      </c>
      <c r="T203" s="11">
        <f>Table1_2[[#This Row],[Yield per Acre]]/N203</f>
        <v>0.1567560858577379</v>
      </c>
    </row>
    <row r="204" spans="1:20" x14ac:dyDescent="0.3">
      <c r="A204" s="8" t="s">
        <v>269</v>
      </c>
      <c r="B204" s="9">
        <v>2011</v>
      </c>
      <c r="C204" s="9" t="str">
        <f t="shared" si="3"/>
        <v>1905-07</v>
      </c>
      <c r="D204" s="10">
        <v>2011</v>
      </c>
      <c r="E204" s="8" t="s">
        <v>25</v>
      </c>
      <c r="F204" s="8" t="s">
        <v>26</v>
      </c>
      <c r="G204" s="8" t="s">
        <v>38</v>
      </c>
      <c r="H204" s="8" t="s">
        <v>56</v>
      </c>
      <c r="I204" s="10">
        <v>51.56</v>
      </c>
      <c r="J204" s="10">
        <v>212.06</v>
      </c>
      <c r="K204" s="10">
        <v>4112.79</v>
      </c>
      <c r="L204" s="8" t="s">
        <v>40</v>
      </c>
      <c r="M204" s="8" t="s">
        <v>49</v>
      </c>
      <c r="N204" s="10">
        <v>161.44</v>
      </c>
      <c r="O204" s="10">
        <v>591.13</v>
      </c>
      <c r="P204" s="8" t="s">
        <v>61</v>
      </c>
      <c r="Q204" s="10">
        <v>30.36</v>
      </c>
      <c r="R204" s="10">
        <f xml:space="preserve"> Table1_2[[#This Row],[Yield (Kg/Ha)]]/Table1_2[[#This Row],[Area (Hectares)]]</f>
        <v>79.767067494181532</v>
      </c>
      <c r="S204" s="10">
        <f>Table1_2[[#This Row],[Yield per Acre]]/Table1_2[[#This Row],[Yield (Kg/Ha)]]</f>
        <v>1.9394879751745538E-2</v>
      </c>
      <c r="T204" s="11">
        <f>Table1_2[[#This Row],[Yield per Acre]]/N204</f>
        <v>0.49409729617307691</v>
      </c>
    </row>
    <row r="205" spans="1:20" x14ac:dyDescent="0.3">
      <c r="A205" s="8" t="s">
        <v>270</v>
      </c>
      <c r="B205" s="9">
        <v>2012</v>
      </c>
      <c r="C205" s="9" t="str">
        <f t="shared" si="3"/>
        <v>1905-07</v>
      </c>
      <c r="D205" s="10">
        <v>2011</v>
      </c>
      <c r="E205" s="8" t="s">
        <v>25</v>
      </c>
      <c r="F205" s="8" t="s">
        <v>87</v>
      </c>
      <c r="G205" s="8" t="s">
        <v>38</v>
      </c>
      <c r="H205" s="8" t="s">
        <v>46</v>
      </c>
      <c r="I205" s="10">
        <v>92.13</v>
      </c>
      <c r="J205" s="10">
        <v>139.59</v>
      </c>
      <c r="K205" s="10">
        <v>1515.13</v>
      </c>
      <c r="L205" s="8" t="s">
        <v>40</v>
      </c>
      <c r="M205" s="8" t="s">
        <v>29</v>
      </c>
      <c r="N205" s="10">
        <v>137.08000000000001</v>
      </c>
      <c r="O205" s="10">
        <v>543.07000000000005</v>
      </c>
      <c r="P205" s="8" t="s">
        <v>42</v>
      </c>
      <c r="Q205" s="10">
        <v>27.82</v>
      </c>
      <c r="R205" s="10">
        <f xml:space="preserve"> Table1_2[[#This Row],[Yield (Kg/Ha)]]/Table1_2[[#This Row],[Area (Hectares)]]</f>
        <v>16.445566047975689</v>
      </c>
      <c r="S205" s="10">
        <f>Table1_2[[#This Row],[Yield per Acre]]/Table1_2[[#This Row],[Yield (Kg/Ha)]]</f>
        <v>1.0854227721697602E-2</v>
      </c>
      <c r="T205" s="11">
        <f>Table1_2[[#This Row],[Yield per Acre]]/N205</f>
        <v>0.11997057227878383</v>
      </c>
    </row>
    <row r="206" spans="1:20" x14ac:dyDescent="0.3">
      <c r="A206" s="8" t="s">
        <v>271</v>
      </c>
      <c r="B206" s="9">
        <v>2021</v>
      </c>
      <c r="C206" s="9" t="str">
        <f t="shared" si="3"/>
        <v>1905-07</v>
      </c>
      <c r="D206" s="10">
        <v>2021</v>
      </c>
      <c r="E206" s="8" t="s">
        <v>25</v>
      </c>
      <c r="F206" s="8" t="s">
        <v>87</v>
      </c>
      <c r="G206" s="8" t="s">
        <v>19</v>
      </c>
      <c r="H206" s="8" t="s">
        <v>46</v>
      </c>
      <c r="I206" s="10">
        <v>32.57</v>
      </c>
      <c r="J206" s="10">
        <v>91.25</v>
      </c>
      <c r="K206" s="10">
        <v>2801.58</v>
      </c>
      <c r="L206" s="8" t="s">
        <v>21</v>
      </c>
      <c r="M206" s="8" t="s">
        <v>41</v>
      </c>
      <c r="N206" s="10">
        <v>55.65</v>
      </c>
      <c r="O206" s="10">
        <v>543.08000000000004</v>
      </c>
      <c r="P206" s="8" t="s">
        <v>23</v>
      </c>
      <c r="Q206" s="10">
        <v>30.16</v>
      </c>
      <c r="R206" s="10">
        <f xml:space="preserve"> Table1_2[[#This Row],[Yield (Kg/Ha)]]/Table1_2[[#This Row],[Area (Hectares)]]</f>
        <v>86.017193736567393</v>
      </c>
      <c r="S206" s="10">
        <f>Table1_2[[#This Row],[Yield per Acre]]/Table1_2[[#This Row],[Yield (Kg/Ha)]]</f>
        <v>3.0703101013202335E-2</v>
      </c>
      <c r="T206" s="11">
        <f>Table1_2[[#This Row],[Yield per Acre]]/N206</f>
        <v>1.5456818281503575</v>
      </c>
    </row>
    <row r="207" spans="1:20" x14ac:dyDescent="0.3">
      <c r="A207" s="8" t="s">
        <v>272</v>
      </c>
      <c r="B207" s="9">
        <v>2018</v>
      </c>
      <c r="C207" s="9" t="str">
        <f t="shared" si="3"/>
        <v>1905-07</v>
      </c>
      <c r="D207" s="10">
        <v>2018</v>
      </c>
      <c r="E207" s="8" t="s">
        <v>59</v>
      </c>
      <c r="F207" s="8" t="s">
        <v>60</v>
      </c>
      <c r="G207" s="8" t="s">
        <v>33</v>
      </c>
      <c r="H207" s="8" t="s">
        <v>20</v>
      </c>
      <c r="I207" s="10">
        <v>56.43</v>
      </c>
      <c r="J207" s="10">
        <v>380.95</v>
      </c>
      <c r="K207" s="10">
        <v>6750.78</v>
      </c>
      <c r="L207" s="8" t="s">
        <v>40</v>
      </c>
      <c r="M207" s="8" t="s">
        <v>29</v>
      </c>
      <c r="N207" s="10">
        <v>249.44</v>
      </c>
      <c r="O207" s="10">
        <v>829.76</v>
      </c>
      <c r="P207" s="8" t="s">
        <v>42</v>
      </c>
      <c r="Q207" s="10">
        <v>29.61</v>
      </c>
      <c r="R207" s="10">
        <f xml:space="preserve"> Table1_2[[#This Row],[Yield (Kg/Ha)]]/Table1_2[[#This Row],[Area (Hectares)]]</f>
        <v>119.63104731525783</v>
      </c>
      <c r="S207" s="10">
        <f>Table1_2[[#This Row],[Yield per Acre]]/Table1_2[[#This Row],[Yield (Kg/Ha)]]</f>
        <v>1.7721070352649301E-2</v>
      </c>
      <c r="T207" s="11">
        <f>Table1_2[[#This Row],[Yield per Acre]]/N207</f>
        <v>0.47959848987835885</v>
      </c>
    </row>
    <row r="208" spans="1:20" x14ac:dyDescent="0.3">
      <c r="A208" s="8" t="s">
        <v>273</v>
      </c>
      <c r="B208" s="9">
        <v>2019</v>
      </c>
      <c r="C208" s="9" t="str">
        <f t="shared" si="3"/>
        <v>1905-07</v>
      </c>
      <c r="D208" s="10">
        <v>2019</v>
      </c>
      <c r="E208" s="8" t="s">
        <v>25</v>
      </c>
      <c r="F208" s="8" t="s">
        <v>69</v>
      </c>
      <c r="G208" s="8" t="s">
        <v>33</v>
      </c>
      <c r="H208" s="8" t="s">
        <v>46</v>
      </c>
      <c r="I208" s="10">
        <v>59.63</v>
      </c>
      <c r="J208" s="10">
        <v>198.75</v>
      </c>
      <c r="K208" s="10">
        <v>3333.01</v>
      </c>
      <c r="L208" s="8" t="s">
        <v>40</v>
      </c>
      <c r="M208" s="8" t="s">
        <v>41</v>
      </c>
      <c r="N208" s="10">
        <v>101.45</v>
      </c>
      <c r="O208" s="10">
        <v>952.33</v>
      </c>
      <c r="P208" s="8" t="s">
        <v>23</v>
      </c>
      <c r="Q208" s="10">
        <v>28.66</v>
      </c>
      <c r="R208" s="10">
        <f xml:space="preserve"> Table1_2[[#This Row],[Yield (Kg/Ha)]]/Table1_2[[#This Row],[Area (Hectares)]]</f>
        <v>55.894851584772766</v>
      </c>
      <c r="S208" s="10">
        <f>Table1_2[[#This Row],[Yield per Acre]]/Table1_2[[#This Row],[Yield (Kg/Ha)]]</f>
        <v>1.6770082173402649E-2</v>
      </c>
      <c r="T208" s="11">
        <f>Table1_2[[#This Row],[Yield per Acre]]/N208</f>
        <v>0.55095960162417712</v>
      </c>
    </row>
    <row r="209" spans="1:20" x14ac:dyDescent="0.3">
      <c r="A209" s="8" t="s">
        <v>274</v>
      </c>
      <c r="B209" s="9">
        <v>2014</v>
      </c>
      <c r="C209" s="9" t="str">
        <f t="shared" si="3"/>
        <v>1905-07</v>
      </c>
      <c r="D209" s="10">
        <v>2013</v>
      </c>
      <c r="E209" s="8" t="s">
        <v>31</v>
      </c>
      <c r="F209" s="8" t="s">
        <v>32</v>
      </c>
      <c r="G209" s="8" t="s">
        <v>38</v>
      </c>
      <c r="H209" s="8" t="s">
        <v>64</v>
      </c>
      <c r="I209" s="10">
        <v>26.97</v>
      </c>
      <c r="J209" s="10">
        <v>166.56</v>
      </c>
      <c r="K209" s="10">
        <v>6175.82</v>
      </c>
      <c r="L209" s="8" t="s">
        <v>34</v>
      </c>
      <c r="M209" s="8" t="s">
        <v>29</v>
      </c>
      <c r="N209" s="10">
        <v>199.24</v>
      </c>
      <c r="O209" s="10">
        <v>811.31</v>
      </c>
      <c r="P209" s="8" t="s">
        <v>61</v>
      </c>
      <c r="Q209" s="10">
        <v>21.71</v>
      </c>
      <c r="R209" s="10">
        <f xml:space="preserve"> Table1_2[[#This Row],[Yield (Kg/Ha)]]/Table1_2[[#This Row],[Area (Hectares)]]</f>
        <v>228.98850574712642</v>
      </c>
      <c r="S209" s="10">
        <f>Table1_2[[#This Row],[Yield per Acre]]/Table1_2[[#This Row],[Yield (Kg/Ha)]]</f>
        <v>3.707823507601038E-2</v>
      </c>
      <c r="T209" s="11">
        <f>Table1_2[[#This Row],[Yield per Acre]]/N209</f>
        <v>1.1493099063798755</v>
      </c>
    </row>
    <row r="210" spans="1:20" x14ac:dyDescent="0.3">
      <c r="A210" s="8" t="s">
        <v>275</v>
      </c>
      <c r="B210" s="9">
        <v>2020</v>
      </c>
      <c r="C210" s="9" t="str">
        <f t="shared" si="3"/>
        <v>1905-07</v>
      </c>
      <c r="D210" s="10">
        <v>2020</v>
      </c>
      <c r="E210" s="8" t="s">
        <v>59</v>
      </c>
      <c r="F210" s="8" t="s">
        <v>60</v>
      </c>
      <c r="G210" s="8" t="s">
        <v>19</v>
      </c>
      <c r="H210" s="8" t="s">
        <v>20</v>
      </c>
      <c r="I210" s="10">
        <v>91.95</v>
      </c>
      <c r="J210" s="10">
        <v>417.55</v>
      </c>
      <c r="K210" s="10">
        <v>4541.01</v>
      </c>
      <c r="L210" s="8" t="s">
        <v>40</v>
      </c>
      <c r="M210" s="8" t="s">
        <v>41</v>
      </c>
      <c r="N210" s="10">
        <v>128.30000000000001</v>
      </c>
      <c r="O210" s="10">
        <v>438.57</v>
      </c>
      <c r="P210" s="8" t="s">
        <v>23</v>
      </c>
      <c r="Q210" s="10">
        <v>22.75</v>
      </c>
      <c r="R210" s="10">
        <f xml:space="preserve"> Table1_2[[#This Row],[Yield (Kg/Ha)]]/Table1_2[[#This Row],[Area (Hectares)]]</f>
        <v>49.385644371941275</v>
      </c>
      <c r="S210" s="10">
        <f>Table1_2[[#This Row],[Yield per Acre]]/Table1_2[[#This Row],[Yield (Kg/Ha)]]</f>
        <v>1.0875475802066341E-2</v>
      </c>
      <c r="T210" s="11">
        <f>Table1_2[[#This Row],[Yield per Acre]]/N210</f>
        <v>0.38492318294576205</v>
      </c>
    </row>
    <row r="211" spans="1:20" x14ac:dyDescent="0.3">
      <c r="A211" s="8" t="s">
        <v>276</v>
      </c>
      <c r="B211" s="9">
        <v>2016</v>
      </c>
      <c r="C211" s="9" t="str">
        <f t="shared" si="3"/>
        <v>1905-07</v>
      </c>
      <c r="D211" s="10">
        <v>2016</v>
      </c>
      <c r="E211" s="8" t="s">
        <v>59</v>
      </c>
      <c r="F211" s="8" t="s">
        <v>63</v>
      </c>
      <c r="G211" s="8" t="s">
        <v>19</v>
      </c>
      <c r="H211" s="8" t="s">
        <v>56</v>
      </c>
      <c r="I211" s="10">
        <v>57.91</v>
      </c>
      <c r="J211" s="10">
        <v>204.9</v>
      </c>
      <c r="K211" s="10">
        <v>3538.23</v>
      </c>
      <c r="L211" s="8" t="s">
        <v>28</v>
      </c>
      <c r="M211" s="8" t="s">
        <v>49</v>
      </c>
      <c r="N211" s="10">
        <v>208.88</v>
      </c>
      <c r="O211" s="10">
        <v>893.43</v>
      </c>
      <c r="P211" s="8" t="s">
        <v>42</v>
      </c>
      <c r="Q211" s="10">
        <v>28.32</v>
      </c>
      <c r="R211" s="10">
        <f xml:space="preserve"> Table1_2[[#This Row],[Yield (Kg/Ha)]]/Table1_2[[#This Row],[Area (Hectares)]]</f>
        <v>61.098773959592478</v>
      </c>
      <c r="S211" s="10">
        <f>Table1_2[[#This Row],[Yield per Acre]]/Table1_2[[#This Row],[Yield (Kg/Ha)]]</f>
        <v>1.7268174753928511E-2</v>
      </c>
      <c r="T211" s="11">
        <f>Table1_2[[#This Row],[Yield per Acre]]/N211</f>
        <v>0.29250657774603828</v>
      </c>
    </row>
    <row r="212" spans="1:20" x14ac:dyDescent="0.3">
      <c r="A212" s="8" t="s">
        <v>277</v>
      </c>
      <c r="B212" s="9">
        <v>2016</v>
      </c>
      <c r="C212" s="9" t="str">
        <f t="shared" si="3"/>
        <v>1905-07</v>
      </c>
      <c r="D212" s="10">
        <v>2015</v>
      </c>
      <c r="E212" s="8" t="s">
        <v>103</v>
      </c>
      <c r="F212" s="8" t="s">
        <v>104</v>
      </c>
      <c r="G212" s="8" t="s">
        <v>38</v>
      </c>
      <c r="H212" s="8" t="s">
        <v>27</v>
      </c>
      <c r="I212" s="10">
        <v>6.31</v>
      </c>
      <c r="J212" s="10">
        <v>19.899999999999999</v>
      </c>
      <c r="K212" s="10">
        <v>3154.24</v>
      </c>
      <c r="L212" s="8" t="s">
        <v>21</v>
      </c>
      <c r="M212" s="8" t="s">
        <v>29</v>
      </c>
      <c r="N212" s="10">
        <v>171.15</v>
      </c>
      <c r="O212" s="10">
        <v>395.13</v>
      </c>
      <c r="P212" s="8" t="s">
        <v>52</v>
      </c>
      <c r="Q212" s="10">
        <v>34.46</v>
      </c>
      <c r="R212" s="10">
        <f xml:space="preserve"> Table1_2[[#This Row],[Yield (Kg/Ha)]]/Table1_2[[#This Row],[Area (Hectares)]]</f>
        <v>499.87955625990492</v>
      </c>
      <c r="S212" s="10">
        <f>Table1_2[[#This Row],[Yield per Acre]]/Table1_2[[#This Row],[Yield (Kg/Ha)]]</f>
        <v>0.1584786053882726</v>
      </c>
      <c r="T212" s="11">
        <f>Table1_2[[#This Row],[Yield per Acre]]/N212</f>
        <v>2.9207102323102827</v>
      </c>
    </row>
    <row r="213" spans="1:20" x14ac:dyDescent="0.3">
      <c r="A213" s="8" t="s">
        <v>278</v>
      </c>
      <c r="B213" s="9">
        <v>2018</v>
      </c>
      <c r="C213" s="9" t="str">
        <f t="shared" si="3"/>
        <v>1905-07</v>
      </c>
      <c r="D213" s="10">
        <v>2017</v>
      </c>
      <c r="E213" s="8" t="s">
        <v>36</v>
      </c>
      <c r="F213" s="8" t="s">
        <v>77</v>
      </c>
      <c r="G213" s="8" t="s">
        <v>38</v>
      </c>
      <c r="H213" s="8" t="s">
        <v>39</v>
      </c>
      <c r="I213" s="10">
        <v>84.15</v>
      </c>
      <c r="J213" s="10">
        <v>330.89</v>
      </c>
      <c r="K213" s="10">
        <v>3932.2</v>
      </c>
      <c r="L213" s="8" t="s">
        <v>21</v>
      </c>
      <c r="M213" s="8" t="s">
        <v>41</v>
      </c>
      <c r="N213" s="10">
        <v>191.35</v>
      </c>
      <c r="O213" s="10">
        <v>995.88</v>
      </c>
      <c r="P213" s="8" t="s">
        <v>42</v>
      </c>
      <c r="Q213" s="10">
        <v>24.38</v>
      </c>
      <c r="R213" s="10">
        <f xml:space="preserve"> Table1_2[[#This Row],[Yield (Kg/Ha)]]/Table1_2[[#This Row],[Area (Hectares)]]</f>
        <v>46.728461081402251</v>
      </c>
      <c r="S213" s="10">
        <f>Table1_2[[#This Row],[Yield per Acre]]/Table1_2[[#This Row],[Yield (Kg/Ha)]]</f>
        <v>1.1883541295305999E-2</v>
      </c>
      <c r="T213" s="11">
        <f>Table1_2[[#This Row],[Yield per Acre]]/N213</f>
        <v>0.24420413421166581</v>
      </c>
    </row>
    <row r="214" spans="1:20" x14ac:dyDescent="0.3">
      <c r="A214" s="8" t="s">
        <v>279</v>
      </c>
      <c r="B214" s="9">
        <v>2013</v>
      </c>
      <c r="C214" s="9" t="str">
        <f t="shared" si="3"/>
        <v>1905-07</v>
      </c>
      <c r="D214" s="10">
        <v>2012</v>
      </c>
      <c r="E214" s="8" t="s">
        <v>59</v>
      </c>
      <c r="F214" s="8" t="s">
        <v>63</v>
      </c>
      <c r="G214" s="8" t="s">
        <v>38</v>
      </c>
      <c r="H214" s="8" t="s">
        <v>27</v>
      </c>
      <c r="I214" s="10">
        <v>74.510000000000005</v>
      </c>
      <c r="J214" s="10">
        <v>416.92</v>
      </c>
      <c r="K214" s="10">
        <v>5595.52</v>
      </c>
      <c r="L214" s="8" t="s">
        <v>21</v>
      </c>
      <c r="M214" s="8" t="s">
        <v>47</v>
      </c>
      <c r="N214" s="10">
        <v>193.18</v>
      </c>
      <c r="O214" s="10">
        <v>467.89</v>
      </c>
      <c r="P214" s="8" t="s">
        <v>61</v>
      </c>
      <c r="Q214" s="10">
        <v>32.35</v>
      </c>
      <c r="R214" s="10">
        <f xml:space="preserve"> Table1_2[[#This Row],[Yield (Kg/Ha)]]/Table1_2[[#This Row],[Area (Hectares)]]</f>
        <v>75.097570795866332</v>
      </c>
      <c r="S214" s="10">
        <f>Table1_2[[#This Row],[Yield per Acre]]/Table1_2[[#This Row],[Yield (Kg/Ha)]]</f>
        <v>1.3421017313112333E-2</v>
      </c>
      <c r="T214" s="11">
        <f>Table1_2[[#This Row],[Yield per Acre]]/N214</f>
        <v>0.38874402524001622</v>
      </c>
    </row>
    <row r="215" spans="1:20" x14ac:dyDescent="0.3">
      <c r="A215" s="8" t="s">
        <v>280</v>
      </c>
      <c r="B215" s="9">
        <v>2022</v>
      </c>
      <c r="C215" s="9" t="str">
        <f t="shared" si="3"/>
        <v>1905-07</v>
      </c>
      <c r="D215" s="10">
        <v>2022</v>
      </c>
      <c r="E215" s="8" t="s">
        <v>44</v>
      </c>
      <c r="F215" s="8" t="s">
        <v>45</v>
      </c>
      <c r="G215" s="8" t="s">
        <v>19</v>
      </c>
      <c r="H215" s="8" t="s">
        <v>46</v>
      </c>
      <c r="I215" s="10">
        <v>55.09</v>
      </c>
      <c r="J215" s="10">
        <v>382.25</v>
      </c>
      <c r="K215" s="10">
        <v>6938.65</v>
      </c>
      <c r="L215" s="8" t="s">
        <v>21</v>
      </c>
      <c r="M215" s="8" t="s">
        <v>29</v>
      </c>
      <c r="N215" s="10">
        <v>234</v>
      </c>
      <c r="O215" s="10">
        <v>853.67</v>
      </c>
      <c r="P215" s="8" t="s">
        <v>42</v>
      </c>
      <c r="Q215" s="10">
        <v>24.47</v>
      </c>
      <c r="R215" s="10">
        <f xml:space="preserve"> Table1_2[[#This Row],[Yield (Kg/Ha)]]/Table1_2[[#This Row],[Area (Hectares)]]</f>
        <v>125.95117081139951</v>
      </c>
      <c r="S215" s="10">
        <f>Table1_2[[#This Row],[Yield per Acre]]/Table1_2[[#This Row],[Yield (Kg/Ha)]]</f>
        <v>1.8152114721365038E-2</v>
      </c>
      <c r="T215" s="11">
        <f>Table1_2[[#This Row],[Yield per Acre]]/N215</f>
        <v>0.53825286671538253</v>
      </c>
    </row>
    <row r="216" spans="1:20" x14ac:dyDescent="0.3">
      <c r="A216" s="8" t="s">
        <v>281</v>
      </c>
      <c r="B216" s="9">
        <v>2011</v>
      </c>
      <c r="C216" s="9" t="str">
        <f t="shared" si="3"/>
        <v>1905-07</v>
      </c>
      <c r="D216" s="10">
        <v>2011</v>
      </c>
      <c r="E216" s="8" t="s">
        <v>31</v>
      </c>
      <c r="F216" s="8" t="s">
        <v>32</v>
      </c>
      <c r="G216" s="8" t="s">
        <v>38</v>
      </c>
      <c r="H216" s="8" t="s">
        <v>64</v>
      </c>
      <c r="I216" s="10">
        <v>77.790000000000006</v>
      </c>
      <c r="J216" s="10">
        <v>188.38</v>
      </c>
      <c r="K216" s="10">
        <v>2421.6799999999998</v>
      </c>
      <c r="L216" s="8" t="s">
        <v>34</v>
      </c>
      <c r="M216" s="8" t="s">
        <v>41</v>
      </c>
      <c r="N216" s="10">
        <v>265.26</v>
      </c>
      <c r="O216" s="10">
        <v>810.26</v>
      </c>
      <c r="P216" s="8" t="s">
        <v>52</v>
      </c>
      <c r="Q216" s="10">
        <v>22.49</v>
      </c>
      <c r="R216" s="10">
        <f xml:space="preserve"> Table1_2[[#This Row],[Yield (Kg/Ha)]]/Table1_2[[#This Row],[Area (Hectares)]]</f>
        <v>31.130993700989841</v>
      </c>
      <c r="S216" s="10">
        <f>Table1_2[[#This Row],[Yield per Acre]]/Table1_2[[#This Row],[Yield (Kg/Ha)]]</f>
        <v>1.2855122766422419E-2</v>
      </c>
      <c r="T216" s="11">
        <f>Table1_2[[#This Row],[Yield per Acre]]/N216</f>
        <v>0.11736030197161217</v>
      </c>
    </row>
    <row r="217" spans="1:20" x14ac:dyDescent="0.3">
      <c r="A217" s="8" t="s">
        <v>282</v>
      </c>
      <c r="B217" s="9">
        <v>2022</v>
      </c>
      <c r="C217" s="9" t="str">
        <f t="shared" si="3"/>
        <v>1905-07</v>
      </c>
      <c r="D217" s="10">
        <v>2022</v>
      </c>
      <c r="E217" s="8" t="s">
        <v>44</v>
      </c>
      <c r="F217" s="8" t="s">
        <v>45</v>
      </c>
      <c r="G217" s="8" t="s">
        <v>33</v>
      </c>
      <c r="H217" s="8" t="s">
        <v>27</v>
      </c>
      <c r="I217" s="10">
        <v>35.729999999999997</v>
      </c>
      <c r="J217" s="10">
        <v>95.99</v>
      </c>
      <c r="K217" s="10">
        <v>2686.51</v>
      </c>
      <c r="L217" s="8" t="s">
        <v>40</v>
      </c>
      <c r="M217" s="8" t="s">
        <v>22</v>
      </c>
      <c r="N217" s="10">
        <v>130.91</v>
      </c>
      <c r="O217" s="10">
        <v>904.05</v>
      </c>
      <c r="P217" s="8" t="s">
        <v>70</v>
      </c>
      <c r="Q217" s="10">
        <v>28.59</v>
      </c>
      <c r="R217" s="10">
        <f xml:space="preserve"> Table1_2[[#This Row],[Yield (Kg/Ha)]]/Table1_2[[#This Row],[Area (Hectares)]]</f>
        <v>75.189196753428504</v>
      </c>
      <c r="S217" s="10">
        <f>Table1_2[[#This Row],[Yield per Acre]]/Table1_2[[#This Row],[Yield (Kg/Ha)]]</f>
        <v>2.7987685418415901E-2</v>
      </c>
      <c r="T217" s="11">
        <f>Table1_2[[#This Row],[Yield per Acre]]/N217</f>
        <v>0.5743579310475021</v>
      </c>
    </row>
    <row r="218" spans="1:20" x14ac:dyDescent="0.3">
      <c r="A218" s="8" t="s">
        <v>283</v>
      </c>
      <c r="B218" s="9">
        <v>2011</v>
      </c>
      <c r="C218" s="9" t="str">
        <f t="shared" si="3"/>
        <v>1905-07</v>
      </c>
      <c r="D218" s="10">
        <v>2010</v>
      </c>
      <c r="E218" s="8" t="s">
        <v>103</v>
      </c>
      <c r="F218" s="8" t="s">
        <v>107</v>
      </c>
      <c r="G218" s="8" t="s">
        <v>38</v>
      </c>
      <c r="H218" s="8" t="s">
        <v>39</v>
      </c>
      <c r="I218" s="10">
        <v>13.56</v>
      </c>
      <c r="J218" s="10">
        <v>84.02</v>
      </c>
      <c r="K218" s="10">
        <v>6196.47</v>
      </c>
      <c r="L218" s="8" t="s">
        <v>40</v>
      </c>
      <c r="M218" s="8" t="s">
        <v>29</v>
      </c>
      <c r="N218" s="10">
        <v>86.56</v>
      </c>
      <c r="O218" s="10">
        <v>522.1</v>
      </c>
      <c r="P218" s="8" t="s">
        <v>42</v>
      </c>
      <c r="Q218" s="10">
        <v>31.42</v>
      </c>
      <c r="R218" s="10">
        <f xml:space="preserve"> Table1_2[[#This Row],[Yield (Kg/Ha)]]/Table1_2[[#This Row],[Area (Hectares)]]</f>
        <v>456.96681415929203</v>
      </c>
      <c r="S218" s="10">
        <f>Table1_2[[#This Row],[Yield per Acre]]/Table1_2[[#This Row],[Yield (Kg/Ha)]]</f>
        <v>7.3746312684365781E-2</v>
      </c>
      <c r="T218" s="11">
        <f>Table1_2[[#This Row],[Yield per Acre]]/N218</f>
        <v>5.2791914759622456</v>
      </c>
    </row>
    <row r="219" spans="1:20" x14ac:dyDescent="0.3">
      <c r="A219" s="8" t="s">
        <v>284</v>
      </c>
      <c r="B219" s="9">
        <v>2021</v>
      </c>
      <c r="C219" s="9" t="str">
        <f t="shared" si="3"/>
        <v>1905-07</v>
      </c>
      <c r="D219" s="10">
        <v>2020</v>
      </c>
      <c r="E219" s="8" t="s">
        <v>103</v>
      </c>
      <c r="F219" s="8" t="s">
        <v>228</v>
      </c>
      <c r="G219" s="8" t="s">
        <v>38</v>
      </c>
      <c r="H219" s="8" t="s">
        <v>39</v>
      </c>
      <c r="I219" s="10">
        <v>42.01</v>
      </c>
      <c r="J219" s="10">
        <v>155.94</v>
      </c>
      <c r="K219" s="10">
        <v>3711.95</v>
      </c>
      <c r="L219" s="8" t="s">
        <v>21</v>
      </c>
      <c r="M219" s="8" t="s">
        <v>49</v>
      </c>
      <c r="N219" s="10">
        <v>150.71</v>
      </c>
      <c r="O219" s="10">
        <v>949.8</v>
      </c>
      <c r="P219" s="8" t="s">
        <v>70</v>
      </c>
      <c r="Q219" s="10">
        <v>26.82</v>
      </c>
      <c r="R219" s="10">
        <f xml:space="preserve"> Table1_2[[#This Row],[Yield (Kg/Ha)]]/Table1_2[[#This Row],[Area (Hectares)]]</f>
        <v>88.358724113306351</v>
      </c>
      <c r="S219" s="10">
        <f>Table1_2[[#This Row],[Yield per Acre]]/Table1_2[[#This Row],[Yield (Kg/Ha)]]</f>
        <v>2.3803856224708403E-2</v>
      </c>
      <c r="T219" s="11">
        <f>Table1_2[[#This Row],[Yield per Acre]]/N219</f>
        <v>0.58628308747466229</v>
      </c>
    </row>
    <row r="220" spans="1:20" x14ac:dyDescent="0.3">
      <c r="A220" s="8" t="s">
        <v>285</v>
      </c>
      <c r="B220" s="9">
        <v>2022</v>
      </c>
      <c r="C220" s="9" t="str">
        <f t="shared" si="3"/>
        <v>1905-07</v>
      </c>
      <c r="D220" s="10">
        <v>2022</v>
      </c>
      <c r="E220" s="8" t="s">
        <v>59</v>
      </c>
      <c r="F220" s="8" t="s">
        <v>60</v>
      </c>
      <c r="G220" s="8" t="s">
        <v>19</v>
      </c>
      <c r="H220" s="8" t="s">
        <v>64</v>
      </c>
      <c r="I220" s="10">
        <v>73.36</v>
      </c>
      <c r="J220" s="10">
        <v>275.14999999999998</v>
      </c>
      <c r="K220" s="10">
        <v>3750.7</v>
      </c>
      <c r="L220" s="8" t="s">
        <v>34</v>
      </c>
      <c r="M220" s="8" t="s">
        <v>41</v>
      </c>
      <c r="N220" s="10">
        <v>262.52999999999997</v>
      </c>
      <c r="O220" s="10">
        <v>995.68</v>
      </c>
      <c r="P220" s="8" t="s">
        <v>52</v>
      </c>
      <c r="Q220" s="10">
        <v>23.27</v>
      </c>
      <c r="R220" s="10">
        <f xml:space="preserve"> Table1_2[[#This Row],[Yield (Kg/Ha)]]/Table1_2[[#This Row],[Area (Hectares)]]</f>
        <v>51.1273173391494</v>
      </c>
      <c r="S220" s="10">
        <f>Table1_2[[#This Row],[Yield per Acre]]/Table1_2[[#This Row],[Yield (Kg/Ha)]]</f>
        <v>1.3631406761177755E-2</v>
      </c>
      <c r="T220" s="11">
        <f>Table1_2[[#This Row],[Yield per Acre]]/N220</f>
        <v>0.19474847575191181</v>
      </c>
    </row>
    <row r="221" spans="1:20" x14ac:dyDescent="0.3">
      <c r="A221" s="8" t="s">
        <v>286</v>
      </c>
      <c r="B221" s="9">
        <v>2016</v>
      </c>
      <c r="C221" s="9" t="str">
        <f t="shared" si="3"/>
        <v>1905-07</v>
      </c>
      <c r="D221" s="10">
        <v>2015</v>
      </c>
      <c r="E221" s="8" t="s">
        <v>36</v>
      </c>
      <c r="F221" s="8" t="s">
        <v>51</v>
      </c>
      <c r="G221" s="8" t="s">
        <v>38</v>
      </c>
      <c r="H221" s="8" t="s">
        <v>20</v>
      </c>
      <c r="I221" s="10">
        <v>55.18</v>
      </c>
      <c r="J221" s="10">
        <v>98.42</v>
      </c>
      <c r="K221" s="10">
        <v>1783.57</v>
      </c>
      <c r="L221" s="8" t="s">
        <v>28</v>
      </c>
      <c r="M221" s="8" t="s">
        <v>22</v>
      </c>
      <c r="N221" s="10">
        <v>247.08</v>
      </c>
      <c r="O221" s="10">
        <v>1094.1500000000001</v>
      </c>
      <c r="P221" s="8" t="s">
        <v>23</v>
      </c>
      <c r="Q221" s="10">
        <v>20.69</v>
      </c>
      <c r="R221" s="10">
        <f xml:space="preserve"> Table1_2[[#This Row],[Yield (Kg/Ha)]]/Table1_2[[#This Row],[Area (Hectares)]]</f>
        <v>32.322761870242843</v>
      </c>
      <c r="S221" s="10">
        <f>Table1_2[[#This Row],[Yield per Acre]]/Table1_2[[#This Row],[Yield (Kg/Ha)]]</f>
        <v>1.8122508155128673E-2</v>
      </c>
      <c r="T221" s="11">
        <f>Table1_2[[#This Row],[Yield per Acre]]/N221</f>
        <v>0.1308190135593445</v>
      </c>
    </row>
    <row r="222" spans="1:20" x14ac:dyDescent="0.3">
      <c r="A222" s="8" t="s">
        <v>287</v>
      </c>
      <c r="B222" s="9">
        <v>2018</v>
      </c>
      <c r="C222" s="9" t="str">
        <f t="shared" si="3"/>
        <v>1905-07</v>
      </c>
      <c r="D222" s="10">
        <v>2017</v>
      </c>
      <c r="E222" s="8" t="s">
        <v>25</v>
      </c>
      <c r="F222" s="8" t="s">
        <v>26</v>
      </c>
      <c r="G222" s="8" t="s">
        <v>38</v>
      </c>
      <c r="H222" s="8" t="s">
        <v>64</v>
      </c>
      <c r="I222" s="10">
        <v>99.19</v>
      </c>
      <c r="J222" s="10">
        <v>353.79</v>
      </c>
      <c r="K222" s="10">
        <v>3566.8</v>
      </c>
      <c r="L222" s="8" t="s">
        <v>40</v>
      </c>
      <c r="M222" s="8" t="s">
        <v>49</v>
      </c>
      <c r="N222" s="10">
        <v>270.54000000000002</v>
      </c>
      <c r="O222" s="10">
        <v>501.87</v>
      </c>
      <c r="P222" s="8" t="s">
        <v>70</v>
      </c>
      <c r="Q222" s="10">
        <v>21.4</v>
      </c>
      <c r="R222" s="10">
        <f xml:space="preserve"> Table1_2[[#This Row],[Yield (Kg/Ha)]]/Table1_2[[#This Row],[Area (Hectares)]]</f>
        <v>35.959270087710458</v>
      </c>
      <c r="S222" s="10">
        <f>Table1_2[[#This Row],[Yield per Acre]]/Table1_2[[#This Row],[Yield (Kg/Ha)]]</f>
        <v>1.0081661457808247E-2</v>
      </c>
      <c r="T222" s="11">
        <f>Table1_2[[#This Row],[Yield per Acre]]/N222</f>
        <v>0.13291664850931639</v>
      </c>
    </row>
    <row r="223" spans="1:20" x14ac:dyDescent="0.3">
      <c r="A223" s="8" t="s">
        <v>288</v>
      </c>
      <c r="B223" s="9">
        <v>2020</v>
      </c>
      <c r="C223" s="9" t="str">
        <f t="shared" si="3"/>
        <v>1905-07</v>
      </c>
      <c r="D223" s="10">
        <v>2020</v>
      </c>
      <c r="E223" s="8" t="s">
        <v>25</v>
      </c>
      <c r="F223" s="8" t="s">
        <v>87</v>
      </c>
      <c r="G223" s="8" t="s">
        <v>19</v>
      </c>
      <c r="H223" s="8" t="s">
        <v>56</v>
      </c>
      <c r="I223" s="10">
        <v>6.13</v>
      </c>
      <c r="J223" s="10">
        <v>29.14</v>
      </c>
      <c r="K223" s="10">
        <v>4753.63</v>
      </c>
      <c r="L223" s="8" t="s">
        <v>40</v>
      </c>
      <c r="M223" s="8" t="s">
        <v>22</v>
      </c>
      <c r="N223" s="10">
        <v>157.31</v>
      </c>
      <c r="O223" s="10">
        <v>291.2</v>
      </c>
      <c r="P223" s="8" t="s">
        <v>23</v>
      </c>
      <c r="Q223" s="10">
        <v>20.02</v>
      </c>
      <c r="R223" s="10">
        <f xml:space="preserve"> Table1_2[[#This Row],[Yield (Kg/Ha)]]/Table1_2[[#This Row],[Area (Hectares)]]</f>
        <v>775.46982055464935</v>
      </c>
      <c r="S223" s="10">
        <f>Table1_2[[#This Row],[Yield per Acre]]/Table1_2[[#This Row],[Yield (Kg/Ha)]]</f>
        <v>0.16313213703099511</v>
      </c>
      <c r="T223" s="11">
        <f>Table1_2[[#This Row],[Yield per Acre]]/N223</f>
        <v>4.9295646847285575</v>
      </c>
    </row>
    <row r="224" spans="1:20" x14ac:dyDescent="0.3">
      <c r="A224" s="8" t="s">
        <v>289</v>
      </c>
      <c r="B224" s="9">
        <v>2013</v>
      </c>
      <c r="C224" s="9" t="str">
        <f t="shared" si="3"/>
        <v>1905-07</v>
      </c>
      <c r="D224" s="10">
        <v>2013</v>
      </c>
      <c r="E224" s="8" t="s">
        <v>103</v>
      </c>
      <c r="F224" s="8" t="s">
        <v>228</v>
      </c>
      <c r="G224" s="8" t="s">
        <v>19</v>
      </c>
      <c r="H224" s="8" t="s">
        <v>39</v>
      </c>
      <c r="I224" s="10">
        <v>45.06</v>
      </c>
      <c r="J224" s="10">
        <v>47.24</v>
      </c>
      <c r="K224" s="10">
        <v>1048.3800000000001</v>
      </c>
      <c r="L224" s="8" t="s">
        <v>34</v>
      </c>
      <c r="M224" s="8" t="s">
        <v>22</v>
      </c>
      <c r="N224" s="10">
        <v>254.28</v>
      </c>
      <c r="O224" s="10">
        <v>1188.1500000000001</v>
      </c>
      <c r="P224" s="8" t="s">
        <v>52</v>
      </c>
      <c r="Q224" s="10">
        <v>30.41</v>
      </c>
      <c r="R224" s="10">
        <f xml:space="preserve"> Table1_2[[#This Row],[Yield (Kg/Ha)]]/Table1_2[[#This Row],[Area (Hectares)]]</f>
        <v>23.266311584553929</v>
      </c>
      <c r="S224" s="10">
        <f>Table1_2[[#This Row],[Yield per Acre]]/Table1_2[[#This Row],[Yield (Kg/Ha)]]</f>
        <v>2.2192632046160673E-2</v>
      </c>
      <c r="T224" s="11">
        <f>Table1_2[[#This Row],[Yield per Acre]]/N224</f>
        <v>9.1498787103012152E-2</v>
      </c>
    </row>
    <row r="225" spans="1:20" x14ac:dyDescent="0.3">
      <c r="A225" s="8" t="s">
        <v>290</v>
      </c>
      <c r="B225" s="9">
        <v>2011</v>
      </c>
      <c r="C225" s="9" t="str">
        <f t="shared" si="3"/>
        <v>1905-07</v>
      </c>
      <c r="D225" s="10">
        <v>2011</v>
      </c>
      <c r="E225" s="8" t="s">
        <v>103</v>
      </c>
      <c r="F225" s="8" t="s">
        <v>107</v>
      </c>
      <c r="G225" s="8" t="s">
        <v>19</v>
      </c>
      <c r="H225" s="8" t="s">
        <v>64</v>
      </c>
      <c r="I225" s="10">
        <v>11.22</v>
      </c>
      <c r="J225" s="10">
        <v>35.96</v>
      </c>
      <c r="K225" s="10">
        <v>3205.37</v>
      </c>
      <c r="L225" s="8" t="s">
        <v>34</v>
      </c>
      <c r="M225" s="8" t="s">
        <v>41</v>
      </c>
      <c r="N225" s="10">
        <v>84.28</v>
      </c>
      <c r="O225" s="10">
        <v>973.46</v>
      </c>
      <c r="P225" s="8" t="s">
        <v>42</v>
      </c>
      <c r="Q225" s="10">
        <v>29.62</v>
      </c>
      <c r="R225" s="10">
        <f xml:space="preserve"> Table1_2[[#This Row],[Yield (Kg/Ha)]]/Table1_2[[#This Row],[Area (Hectares)]]</f>
        <v>285.68360071301242</v>
      </c>
      <c r="S225" s="10">
        <f>Table1_2[[#This Row],[Yield per Acre]]/Table1_2[[#This Row],[Yield (Kg/Ha)]]</f>
        <v>8.9126559714794995E-2</v>
      </c>
      <c r="T225" s="11">
        <f>Table1_2[[#This Row],[Yield per Acre]]/N225</f>
        <v>3.3896962590533035</v>
      </c>
    </row>
    <row r="226" spans="1:20" x14ac:dyDescent="0.3">
      <c r="A226" s="8" t="s">
        <v>291</v>
      </c>
      <c r="B226" s="9">
        <v>2019</v>
      </c>
      <c r="C226" s="9" t="str">
        <f t="shared" si="3"/>
        <v>1905-07</v>
      </c>
      <c r="D226" s="10">
        <v>2019</v>
      </c>
      <c r="E226" s="8" t="s">
        <v>25</v>
      </c>
      <c r="F226" s="8" t="s">
        <v>69</v>
      </c>
      <c r="G226" s="8" t="s">
        <v>33</v>
      </c>
      <c r="H226" s="8" t="s">
        <v>27</v>
      </c>
      <c r="I226" s="10">
        <v>65.349999999999994</v>
      </c>
      <c r="J226" s="10">
        <v>237.91</v>
      </c>
      <c r="K226" s="10">
        <v>3640.6</v>
      </c>
      <c r="L226" s="8" t="s">
        <v>40</v>
      </c>
      <c r="M226" s="8" t="s">
        <v>41</v>
      </c>
      <c r="N226" s="10">
        <v>207.02</v>
      </c>
      <c r="O226" s="10">
        <v>351.37</v>
      </c>
      <c r="P226" s="8" t="s">
        <v>52</v>
      </c>
      <c r="Q226" s="10">
        <v>29.24</v>
      </c>
      <c r="R226" s="10">
        <f xml:space="preserve"> Table1_2[[#This Row],[Yield (Kg/Ha)]]/Table1_2[[#This Row],[Area (Hectares)]]</f>
        <v>55.709257842387153</v>
      </c>
      <c r="S226" s="10">
        <f>Table1_2[[#This Row],[Yield per Acre]]/Table1_2[[#This Row],[Yield (Kg/Ha)]]</f>
        <v>1.5302218821729153E-2</v>
      </c>
      <c r="T226" s="11">
        <f>Table1_2[[#This Row],[Yield per Acre]]/N226</f>
        <v>0.26910084939806372</v>
      </c>
    </row>
    <row r="227" spans="1:20" x14ac:dyDescent="0.3">
      <c r="A227" s="8" t="s">
        <v>292</v>
      </c>
      <c r="B227" s="9">
        <v>2012</v>
      </c>
      <c r="C227" s="9" t="str">
        <f t="shared" si="3"/>
        <v>1905-07</v>
      </c>
      <c r="D227" s="10">
        <v>2012</v>
      </c>
      <c r="E227" s="8" t="s">
        <v>25</v>
      </c>
      <c r="F227" s="8" t="s">
        <v>26</v>
      </c>
      <c r="G227" s="8" t="s">
        <v>33</v>
      </c>
      <c r="H227" s="8" t="s">
        <v>27</v>
      </c>
      <c r="I227" s="10">
        <v>73.27</v>
      </c>
      <c r="J227" s="10">
        <v>227.81</v>
      </c>
      <c r="K227" s="10">
        <v>3109.21</v>
      </c>
      <c r="L227" s="8" t="s">
        <v>28</v>
      </c>
      <c r="M227" s="8" t="s">
        <v>47</v>
      </c>
      <c r="N227" s="10">
        <v>128.63</v>
      </c>
      <c r="O227" s="10">
        <v>339.83</v>
      </c>
      <c r="P227" s="8" t="s">
        <v>70</v>
      </c>
      <c r="Q227" s="10">
        <v>29.67</v>
      </c>
      <c r="R227" s="10">
        <f xml:space="preserve"> Table1_2[[#This Row],[Yield (Kg/Ha)]]/Table1_2[[#This Row],[Area (Hectares)]]</f>
        <v>42.434966562030844</v>
      </c>
      <c r="S227" s="10">
        <f>Table1_2[[#This Row],[Yield per Acre]]/Table1_2[[#This Row],[Yield (Kg/Ha)]]</f>
        <v>1.3648150675583458E-2</v>
      </c>
      <c r="T227" s="11">
        <f>Table1_2[[#This Row],[Yield per Acre]]/N227</f>
        <v>0.32989945239859164</v>
      </c>
    </row>
    <row r="228" spans="1:20" x14ac:dyDescent="0.3">
      <c r="A228" s="8" t="s">
        <v>293</v>
      </c>
      <c r="B228" s="9">
        <v>2021</v>
      </c>
      <c r="C228" s="9" t="str">
        <f t="shared" si="3"/>
        <v>1905-07</v>
      </c>
      <c r="D228" s="10">
        <v>2021</v>
      </c>
      <c r="E228" s="8" t="s">
        <v>59</v>
      </c>
      <c r="F228" s="8" t="s">
        <v>93</v>
      </c>
      <c r="G228" s="8" t="s">
        <v>19</v>
      </c>
      <c r="H228" s="8" t="s">
        <v>20</v>
      </c>
      <c r="I228" s="10">
        <v>78.12</v>
      </c>
      <c r="J228" s="10">
        <v>401.76</v>
      </c>
      <c r="K228" s="10">
        <v>5142.8599999999997</v>
      </c>
      <c r="L228" s="8" t="s">
        <v>34</v>
      </c>
      <c r="M228" s="8" t="s">
        <v>22</v>
      </c>
      <c r="N228" s="10">
        <v>101.36</v>
      </c>
      <c r="O228" s="10">
        <v>806.93</v>
      </c>
      <c r="P228" s="8" t="s">
        <v>42</v>
      </c>
      <c r="Q228" s="10">
        <v>31.22</v>
      </c>
      <c r="R228" s="10">
        <f xml:space="preserve"> Table1_2[[#This Row],[Yield (Kg/Ha)]]/Table1_2[[#This Row],[Area (Hectares)]]</f>
        <v>65.832821300563225</v>
      </c>
      <c r="S228" s="10">
        <f>Table1_2[[#This Row],[Yield per Acre]]/Table1_2[[#This Row],[Yield (Kg/Ha)]]</f>
        <v>1.2800819252432155E-2</v>
      </c>
      <c r="T228" s="11">
        <f>Table1_2[[#This Row],[Yield per Acre]]/N228</f>
        <v>0.64949507991873745</v>
      </c>
    </row>
    <row r="229" spans="1:20" x14ac:dyDescent="0.3">
      <c r="A229" s="8" t="s">
        <v>294</v>
      </c>
      <c r="B229" s="9">
        <v>2017</v>
      </c>
      <c r="C229" s="9" t="str">
        <f t="shared" si="3"/>
        <v>1905-07</v>
      </c>
      <c r="D229" s="10">
        <v>2017</v>
      </c>
      <c r="E229" s="8" t="s">
        <v>44</v>
      </c>
      <c r="F229" s="8" t="s">
        <v>45</v>
      </c>
      <c r="G229" s="8" t="s">
        <v>38</v>
      </c>
      <c r="H229" s="8" t="s">
        <v>64</v>
      </c>
      <c r="I229" s="10">
        <v>24.87</v>
      </c>
      <c r="J229" s="10">
        <v>120.08</v>
      </c>
      <c r="K229" s="10">
        <v>4828.49</v>
      </c>
      <c r="L229" s="8" t="s">
        <v>21</v>
      </c>
      <c r="M229" s="8" t="s">
        <v>29</v>
      </c>
      <c r="N229" s="10">
        <v>182.07</v>
      </c>
      <c r="O229" s="10">
        <v>1177.7</v>
      </c>
      <c r="P229" s="8" t="s">
        <v>70</v>
      </c>
      <c r="Q229" s="10">
        <v>34.01</v>
      </c>
      <c r="R229" s="10">
        <f xml:space="preserve"> Table1_2[[#This Row],[Yield (Kg/Ha)]]/Table1_2[[#This Row],[Area (Hectares)]]</f>
        <v>194.14917571371129</v>
      </c>
      <c r="S229" s="10">
        <f>Table1_2[[#This Row],[Yield per Acre]]/Table1_2[[#This Row],[Yield (Kg/Ha)]]</f>
        <v>4.0209087253719342E-2</v>
      </c>
      <c r="T229" s="11">
        <f>Table1_2[[#This Row],[Yield per Acre]]/N229</f>
        <v>1.0663435805663277</v>
      </c>
    </row>
    <row r="230" spans="1:20" x14ac:dyDescent="0.3">
      <c r="A230" s="8" t="s">
        <v>295</v>
      </c>
      <c r="B230" s="9">
        <v>2016</v>
      </c>
      <c r="C230" s="9" t="str">
        <f t="shared" si="3"/>
        <v>1905-07</v>
      </c>
      <c r="D230" s="10">
        <v>2016</v>
      </c>
      <c r="E230" s="8" t="s">
        <v>44</v>
      </c>
      <c r="F230" s="8" t="s">
        <v>67</v>
      </c>
      <c r="G230" s="8" t="s">
        <v>38</v>
      </c>
      <c r="H230" s="8" t="s">
        <v>27</v>
      </c>
      <c r="I230" s="10">
        <v>68.61</v>
      </c>
      <c r="J230" s="10">
        <v>382.59</v>
      </c>
      <c r="K230" s="10">
        <v>5576.36</v>
      </c>
      <c r="L230" s="8" t="s">
        <v>21</v>
      </c>
      <c r="M230" s="8" t="s">
        <v>29</v>
      </c>
      <c r="N230" s="10">
        <v>54.17</v>
      </c>
      <c r="O230" s="10">
        <v>267.52999999999997</v>
      </c>
      <c r="P230" s="8" t="s">
        <v>70</v>
      </c>
      <c r="Q230" s="10">
        <v>23.24</v>
      </c>
      <c r="R230" s="10">
        <f xml:space="preserve"> Table1_2[[#This Row],[Yield (Kg/Ha)]]/Table1_2[[#This Row],[Area (Hectares)]]</f>
        <v>81.276198804838941</v>
      </c>
      <c r="S230" s="10">
        <f>Table1_2[[#This Row],[Yield per Acre]]/Table1_2[[#This Row],[Yield (Kg/Ha)]]</f>
        <v>1.4575134819997086E-2</v>
      </c>
      <c r="T230" s="11">
        <f>Table1_2[[#This Row],[Yield per Acre]]/N230</f>
        <v>1.5003913384685055</v>
      </c>
    </row>
    <row r="231" spans="1:20" x14ac:dyDescent="0.3">
      <c r="A231" s="8" t="s">
        <v>296</v>
      </c>
      <c r="B231" s="9">
        <v>2020</v>
      </c>
      <c r="C231" s="9" t="str">
        <f t="shared" si="3"/>
        <v>1905-07</v>
      </c>
      <c r="D231" s="10">
        <v>2020</v>
      </c>
      <c r="E231" s="8" t="s">
        <v>59</v>
      </c>
      <c r="F231" s="8" t="s">
        <v>63</v>
      </c>
      <c r="G231" s="8" t="s">
        <v>19</v>
      </c>
      <c r="H231" s="8" t="s">
        <v>27</v>
      </c>
      <c r="I231" s="10">
        <v>76.94</v>
      </c>
      <c r="J231" s="10">
        <v>272.48</v>
      </c>
      <c r="K231" s="10">
        <v>3541.45</v>
      </c>
      <c r="L231" s="8" t="s">
        <v>28</v>
      </c>
      <c r="M231" s="8" t="s">
        <v>49</v>
      </c>
      <c r="N231" s="10">
        <v>70.61</v>
      </c>
      <c r="O231" s="10">
        <v>736.56</v>
      </c>
      <c r="P231" s="8" t="s">
        <v>61</v>
      </c>
      <c r="Q231" s="10">
        <v>22.29</v>
      </c>
      <c r="R231" s="10">
        <f xml:space="preserve"> Table1_2[[#This Row],[Yield (Kg/Ha)]]/Table1_2[[#This Row],[Area (Hectares)]]</f>
        <v>46.028723680790222</v>
      </c>
      <c r="S231" s="10">
        <f>Table1_2[[#This Row],[Yield per Acre]]/Table1_2[[#This Row],[Yield (Kg/Ha)]]</f>
        <v>1.2997140629061606E-2</v>
      </c>
      <c r="T231" s="11">
        <f>Table1_2[[#This Row],[Yield per Acre]]/N231</f>
        <v>0.65187259142883758</v>
      </c>
    </row>
    <row r="232" spans="1:20" x14ac:dyDescent="0.3">
      <c r="A232" s="8" t="s">
        <v>297</v>
      </c>
      <c r="B232" s="9">
        <v>2013</v>
      </c>
      <c r="C232" s="9" t="str">
        <f t="shared" si="3"/>
        <v>1905-07</v>
      </c>
      <c r="D232" s="10">
        <v>2013</v>
      </c>
      <c r="E232" s="8" t="s">
        <v>25</v>
      </c>
      <c r="F232" s="8" t="s">
        <v>69</v>
      </c>
      <c r="G232" s="8" t="s">
        <v>33</v>
      </c>
      <c r="H232" s="8" t="s">
        <v>27</v>
      </c>
      <c r="I232" s="10">
        <v>33.35</v>
      </c>
      <c r="J232" s="10">
        <v>150.69999999999999</v>
      </c>
      <c r="K232" s="10">
        <v>4518.62</v>
      </c>
      <c r="L232" s="8" t="s">
        <v>21</v>
      </c>
      <c r="M232" s="8" t="s">
        <v>29</v>
      </c>
      <c r="N232" s="10">
        <v>127.54</v>
      </c>
      <c r="O232" s="10">
        <v>637.49</v>
      </c>
      <c r="P232" s="8" t="s">
        <v>42</v>
      </c>
      <c r="Q232" s="10">
        <v>20.87</v>
      </c>
      <c r="R232" s="10">
        <f xml:space="preserve"> Table1_2[[#This Row],[Yield (Kg/Ha)]]/Table1_2[[#This Row],[Area (Hectares)]]</f>
        <v>135.49085457271363</v>
      </c>
      <c r="S232" s="10">
        <f>Table1_2[[#This Row],[Yield per Acre]]/Table1_2[[#This Row],[Yield (Kg/Ha)]]</f>
        <v>2.998500749625187E-2</v>
      </c>
      <c r="T232" s="11">
        <f>Table1_2[[#This Row],[Yield per Acre]]/N232</f>
        <v>1.0623400860335082</v>
      </c>
    </row>
    <row r="233" spans="1:20" x14ac:dyDescent="0.3">
      <c r="A233" s="8" t="s">
        <v>298</v>
      </c>
      <c r="B233" s="9">
        <v>2019</v>
      </c>
      <c r="C233" s="9" t="str">
        <f t="shared" si="3"/>
        <v>1905-07</v>
      </c>
      <c r="D233" s="10">
        <v>2019</v>
      </c>
      <c r="E233" s="8" t="s">
        <v>25</v>
      </c>
      <c r="F233" s="8" t="s">
        <v>87</v>
      </c>
      <c r="G233" s="8" t="s">
        <v>19</v>
      </c>
      <c r="H233" s="8" t="s">
        <v>64</v>
      </c>
      <c r="I233" s="10">
        <v>31.62</v>
      </c>
      <c r="J233" s="10">
        <v>172.33</v>
      </c>
      <c r="K233" s="10">
        <v>5450.16</v>
      </c>
      <c r="L233" s="8" t="s">
        <v>40</v>
      </c>
      <c r="M233" s="8" t="s">
        <v>49</v>
      </c>
      <c r="N233" s="10">
        <v>79.86</v>
      </c>
      <c r="O233" s="10">
        <v>907.9</v>
      </c>
      <c r="P233" s="8" t="s">
        <v>23</v>
      </c>
      <c r="Q233" s="10">
        <v>22.46</v>
      </c>
      <c r="R233" s="10">
        <f xml:space="preserve"> Table1_2[[#This Row],[Yield (Kg/Ha)]]/Table1_2[[#This Row],[Area (Hectares)]]</f>
        <v>172.36432637571156</v>
      </c>
      <c r="S233" s="10">
        <f>Table1_2[[#This Row],[Yield per Acre]]/Table1_2[[#This Row],[Yield (Kg/Ha)]]</f>
        <v>3.1625553447185324E-2</v>
      </c>
      <c r="T233" s="11">
        <f>Table1_2[[#This Row],[Yield per Acre]]/N233</f>
        <v>2.1583311592250385</v>
      </c>
    </row>
    <row r="234" spans="1:20" x14ac:dyDescent="0.3">
      <c r="A234" s="8" t="s">
        <v>299</v>
      </c>
      <c r="B234" s="9">
        <v>2022</v>
      </c>
      <c r="C234" s="9" t="str">
        <f t="shared" si="3"/>
        <v>1905-07</v>
      </c>
      <c r="D234" s="10">
        <v>2022</v>
      </c>
      <c r="E234" s="8" t="s">
        <v>59</v>
      </c>
      <c r="F234" s="8" t="s">
        <v>93</v>
      </c>
      <c r="G234" s="8" t="s">
        <v>19</v>
      </c>
      <c r="H234" s="8" t="s">
        <v>20</v>
      </c>
      <c r="I234" s="10">
        <v>17.53</v>
      </c>
      <c r="J234" s="10">
        <v>30.88</v>
      </c>
      <c r="K234" s="10">
        <v>1761.58</v>
      </c>
      <c r="L234" s="8" t="s">
        <v>34</v>
      </c>
      <c r="M234" s="8" t="s">
        <v>49</v>
      </c>
      <c r="N234" s="10">
        <v>233.23</v>
      </c>
      <c r="O234" s="10">
        <v>318.06</v>
      </c>
      <c r="P234" s="8" t="s">
        <v>23</v>
      </c>
      <c r="Q234" s="10">
        <v>25.03</v>
      </c>
      <c r="R234" s="10">
        <f xml:space="preserve"> Table1_2[[#This Row],[Yield (Kg/Ha)]]/Table1_2[[#This Row],[Area (Hectares)]]</f>
        <v>100.48944666286366</v>
      </c>
      <c r="S234" s="10">
        <f>Table1_2[[#This Row],[Yield per Acre]]/Table1_2[[#This Row],[Yield (Kg/Ha)]]</f>
        <v>5.7045065601825443E-2</v>
      </c>
      <c r="T234" s="11">
        <f>Table1_2[[#This Row],[Yield per Acre]]/N234</f>
        <v>0.43085986649600677</v>
      </c>
    </row>
    <row r="235" spans="1:20" x14ac:dyDescent="0.3">
      <c r="A235" s="8" t="s">
        <v>300</v>
      </c>
      <c r="B235" s="9">
        <v>2014</v>
      </c>
      <c r="C235" s="9" t="str">
        <f t="shared" si="3"/>
        <v>1905-07</v>
      </c>
      <c r="D235" s="10">
        <v>2014</v>
      </c>
      <c r="E235" s="8" t="s">
        <v>59</v>
      </c>
      <c r="F235" s="8" t="s">
        <v>60</v>
      </c>
      <c r="G235" s="8" t="s">
        <v>19</v>
      </c>
      <c r="H235" s="8" t="s">
        <v>27</v>
      </c>
      <c r="I235" s="10">
        <v>63.13</v>
      </c>
      <c r="J235" s="10">
        <v>251.06</v>
      </c>
      <c r="K235" s="10">
        <v>3976.89</v>
      </c>
      <c r="L235" s="8" t="s">
        <v>34</v>
      </c>
      <c r="M235" s="8" t="s">
        <v>22</v>
      </c>
      <c r="N235" s="10">
        <v>63.86</v>
      </c>
      <c r="O235" s="10">
        <v>1059.3599999999999</v>
      </c>
      <c r="P235" s="8" t="s">
        <v>42</v>
      </c>
      <c r="Q235" s="10">
        <v>25.52</v>
      </c>
      <c r="R235" s="10">
        <f xml:space="preserve"> Table1_2[[#This Row],[Yield (Kg/Ha)]]/Table1_2[[#This Row],[Area (Hectares)]]</f>
        <v>62.99524790115634</v>
      </c>
      <c r="S235" s="10">
        <f>Table1_2[[#This Row],[Yield per Acre]]/Table1_2[[#This Row],[Yield (Kg/Ha)]]</f>
        <v>1.5840329478853159E-2</v>
      </c>
      <c r="T235" s="11">
        <f>Table1_2[[#This Row],[Yield per Acre]]/N235</f>
        <v>0.98645862670147733</v>
      </c>
    </row>
    <row r="236" spans="1:20" x14ac:dyDescent="0.3">
      <c r="A236" s="8" t="s">
        <v>301</v>
      </c>
      <c r="B236" s="9">
        <v>2021</v>
      </c>
      <c r="C236" s="9" t="str">
        <f t="shared" si="3"/>
        <v>1905-07</v>
      </c>
      <c r="D236" s="10">
        <v>2021</v>
      </c>
      <c r="E236" s="8" t="s">
        <v>59</v>
      </c>
      <c r="F236" s="8" t="s">
        <v>93</v>
      </c>
      <c r="G236" s="8" t="s">
        <v>33</v>
      </c>
      <c r="H236" s="8" t="s">
        <v>56</v>
      </c>
      <c r="I236" s="10">
        <v>74.34</v>
      </c>
      <c r="J236" s="10">
        <v>75.489999999999995</v>
      </c>
      <c r="K236" s="10">
        <v>1015.41</v>
      </c>
      <c r="L236" s="8" t="s">
        <v>21</v>
      </c>
      <c r="M236" s="8" t="s">
        <v>22</v>
      </c>
      <c r="N236" s="10">
        <v>111.14</v>
      </c>
      <c r="O236" s="10">
        <v>671.76</v>
      </c>
      <c r="P236" s="8" t="s">
        <v>52</v>
      </c>
      <c r="Q236" s="10">
        <v>33.799999999999997</v>
      </c>
      <c r="R236" s="10">
        <f xml:space="preserve"> Table1_2[[#This Row],[Yield (Kg/Ha)]]/Table1_2[[#This Row],[Area (Hectares)]]</f>
        <v>13.658999192897497</v>
      </c>
      <c r="S236" s="10">
        <f>Table1_2[[#This Row],[Yield per Acre]]/Table1_2[[#This Row],[Yield (Kg/Ha)]]</f>
        <v>1.3451708366962604E-2</v>
      </c>
      <c r="T236" s="11">
        <f>Table1_2[[#This Row],[Yield per Acre]]/N236</f>
        <v>0.12289903898594112</v>
      </c>
    </row>
    <row r="237" spans="1:20" x14ac:dyDescent="0.3">
      <c r="A237" s="8" t="s">
        <v>302</v>
      </c>
      <c r="B237" s="9">
        <v>2021</v>
      </c>
      <c r="C237" s="9" t="str">
        <f t="shared" si="3"/>
        <v>1905-07</v>
      </c>
      <c r="D237" s="10">
        <v>2021</v>
      </c>
      <c r="E237" s="8" t="s">
        <v>59</v>
      </c>
      <c r="F237" s="8" t="s">
        <v>93</v>
      </c>
      <c r="G237" s="8" t="s">
        <v>19</v>
      </c>
      <c r="H237" s="8" t="s">
        <v>46</v>
      </c>
      <c r="I237" s="10">
        <v>23.23</v>
      </c>
      <c r="J237" s="10">
        <v>57.83</v>
      </c>
      <c r="K237" s="10">
        <v>2489.58</v>
      </c>
      <c r="L237" s="8" t="s">
        <v>34</v>
      </c>
      <c r="M237" s="8" t="s">
        <v>22</v>
      </c>
      <c r="N237" s="10">
        <v>117.81</v>
      </c>
      <c r="O237" s="10">
        <v>277.89</v>
      </c>
      <c r="P237" s="8" t="s">
        <v>70</v>
      </c>
      <c r="Q237" s="10">
        <v>21.79</v>
      </c>
      <c r="R237" s="10">
        <f xml:space="preserve"> Table1_2[[#This Row],[Yield (Kg/Ha)]]/Table1_2[[#This Row],[Area (Hectares)]]</f>
        <v>107.17089969866551</v>
      </c>
      <c r="S237" s="10">
        <f>Table1_2[[#This Row],[Yield per Acre]]/Table1_2[[#This Row],[Yield (Kg/Ha)]]</f>
        <v>4.3047783039173476E-2</v>
      </c>
      <c r="T237" s="11">
        <f>Table1_2[[#This Row],[Yield per Acre]]/N237</f>
        <v>0.90969272301727788</v>
      </c>
    </row>
    <row r="238" spans="1:20" x14ac:dyDescent="0.3">
      <c r="A238" s="8" t="s">
        <v>303</v>
      </c>
      <c r="B238" s="9">
        <v>2022</v>
      </c>
      <c r="C238" s="9" t="str">
        <f t="shared" si="3"/>
        <v>1905-07</v>
      </c>
      <c r="D238" s="10">
        <v>2022</v>
      </c>
      <c r="E238" s="8" t="s">
        <v>103</v>
      </c>
      <c r="F238" s="8" t="s">
        <v>104</v>
      </c>
      <c r="G238" s="8" t="s">
        <v>19</v>
      </c>
      <c r="H238" s="8" t="s">
        <v>64</v>
      </c>
      <c r="I238" s="10">
        <v>95.45</v>
      </c>
      <c r="J238" s="10">
        <v>134.91999999999999</v>
      </c>
      <c r="K238" s="10">
        <v>1413.56</v>
      </c>
      <c r="L238" s="8" t="s">
        <v>28</v>
      </c>
      <c r="M238" s="8" t="s">
        <v>29</v>
      </c>
      <c r="N238" s="10">
        <v>266.51</v>
      </c>
      <c r="O238" s="10">
        <v>973.53</v>
      </c>
      <c r="P238" s="8" t="s">
        <v>70</v>
      </c>
      <c r="Q238" s="10">
        <v>24.91</v>
      </c>
      <c r="R238" s="10">
        <f xml:space="preserve"> Table1_2[[#This Row],[Yield (Kg/Ha)]]/Table1_2[[#This Row],[Area (Hectares)]]</f>
        <v>14.809429020429544</v>
      </c>
      <c r="S238" s="10">
        <f>Table1_2[[#This Row],[Yield per Acre]]/Table1_2[[#This Row],[Yield (Kg/Ha)]]</f>
        <v>1.0476689366160294E-2</v>
      </c>
      <c r="T238" s="11">
        <f>Table1_2[[#This Row],[Yield per Acre]]/N238</f>
        <v>5.5568005029565659E-2</v>
      </c>
    </row>
    <row r="239" spans="1:20" x14ac:dyDescent="0.3">
      <c r="A239" s="8" t="s">
        <v>304</v>
      </c>
      <c r="B239" s="9">
        <v>2013</v>
      </c>
      <c r="C239" s="9" t="str">
        <f t="shared" si="3"/>
        <v>1905-07</v>
      </c>
      <c r="D239" s="10">
        <v>2013</v>
      </c>
      <c r="E239" s="8" t="s">
        <v>25</v>
      </c>
      <c r="F239" s="8" t="s">
        <v>87</v>
      </c>
      <c r="G239" s="8" t="s">
        <v>38</v>
      </c>
      <c r="H239" s="8" t="s">
        <v>27</v>
      </c>
      <c r="I239" s="10">
        <v>78.67</v>
      </c>
      <c r="J239" s="10">
        <v>427.76</v>
      </c>
      <c r="K239" s="10">
        <v>5437.46</v>
      </c>
      <c r="L239" s="8" t="s">
        <v>40</v>
      </c>
      <c r="M239" s="8" t="s">
        <v>47</v>
      </c>
      <c r="N239" s="10">
        <v>165.98</v>
      </c>
      <c r="O239" s="10">
        <v>791.69</v>
      </c>
      <c r="P239" s="8" t="s">
        <v>52</v>
      </c>
      <c r="Q239" s="10">
        <v>34.97</v>
      </c>
      <c r="R239" s="10">
        <f xml:space="preserve"> Table1_2[[#This Row],[Yield (Kg/Ha)]]/Table1_2[[#This Row],[Area (Hectares)]]</f>
        <v>69.117325537053517</v>
      </c>
      <c r="S239" s="10">
        <f>Table1_2[[#This Row],[Yield per Acre]]/Table1_2[[#This Row],[Yield (Kg/Ha)]]</f>
        <v>1.271132579128003E-2</v>
      </c>
      <c r="T239" s="11">
        <f>Table1_2[[#This Row],[Yield per Acre]]/N239</f>
        <v>0.41641960198248901</v>
      </c>
    </row>
    <row r="240" spans="1:20" x14ac:dyDescent="0.3">
      <c r="A240" s="8" t="s">
        <v>305</v>
      </c>
      <c r="B240" s="9">
        <v>2012</v>
      </c>
      <c r="C240" s="9" t="str">
        <f t="shared" si="3"/>
        <v>1905-07</v>
      </c>
      <c r="D240" s="10">
        <v>2012</v>
      </c>
      <c r="E240" s="8" t="s">
        <v>44</v>
      </c>
      <c r="F240" s="8" t="s">
        <v>45</v>
      </c>
      <c r="G240" s="8" t="s">
        <v>33</v>
      </c>
      <c r="H240" s="8" t="s">
        <v>46</v>
      </c>
      <c r="I240" s="10">
        <v>3.37</v>
      </c>
      <c r="J240" s="10">
        <v>14.32</v>
      </c>
      <c r="K240" s="10">
        <v>4249.2700000000004</v>
      </c>
      <c r="L240" s="8" t="s">
        <v>21</v>
      </c>
      <c r="M240" s="8" t="s">
        <v>22</v>
      </c>
      <c r="N240" s="10">
        <v>287.75</v>
      </c>
      <c r="O240" s="10">
        <v>201.46</v>
      </c>
      <c r="P240" s="8" t="s">
        <v>52</v>
      </c>
      <c r="Q240" s="10">
        <v>32.74</v>
      </c>
      <c r="R240" s="10">
        <f xml:space="preserve"> Table1_2[[#This Row],[Yield (Kg/Ha)]]/Table1_2[[#This Row],[Area (Hectares)]]</f>
        <v>1260.9109792284867</v>
      </c>
      <c r="S240" s="10">
        <f>Table1_2[[#This Row],[Yield per Acre]]/Table1_2[[#This Row],[Yield (Kg/Ha)]]</f>
        <v>0.29673590504451036</v>
      </c>
      <c r="T240" s="11">
        <f>Table1_2[[#This Row],[Yield per Acre]]/N240</f>
        <v>4.3819669130442627</v>
      </c>
    </row>
    <row r="241" spans="1:20" x14ac:dyDescent="0.3">
      <c r="A241" s="8" t="s">
        <v>306</v>
      </c>
      <c r="B241" s="9">
        <v>2014</v>
      </c>
      <c r="C241" s="9" t="str">
        <f t="shared" si="3"/>
        <v>1905-07</v>
      </c>
      <c r="D241" s="10">
        <v>2013</v>
      </c>
      <c r="E241" s="8" t="s">
        <v>103</v>
      </c>
      <c r="F241" s="8" t="s">
        <v>228</v>
      </c>
      <c r="G241" s="8" t="s">
        <v>38</v>
      </c>
      <c r="H241" s="8" t="s">
        <v>46</v>
      </c>
      <c r="I241" s="10">
        <v>96.16</v>
      </c>
      <c r="J241" s="10">
        <v>657.29</v>
      </c>
      <c r="K241" s="10">
        <v>6835.36</v>
      </c>
      <c r="L241" s="8" t="s">
        <v>40</v>
      </c>
      <c r="M241" s="8" t="s">
        <v>29</v>
      </c>
      <c r="N241" s="10">
        <v>227.91</v>
      </c>
      <c r="O241" s="10">
        <v>293.02999999999997</v>
      </c>
      <c r="P241" s="8" t="s">
        <v>42</v>
      </c>
      <c r="Q241" s="10">
        <v>33.46</v>
      </c>
      <c r="R241" s="10">
        <f xml:space="preserve"> Table1_2[[#This Row],[Yield (Kg/Ha)]]/Table1_2[[#This Row],[Area (Hectares)]]</f>
        <v>71.083194675540767</v>
      </c>
      <c r="S241" s="10">
        <f>Table1_2[[#This Row],[Yield per Acre]]/Table1_2[[#This Row],[Yield (Kg/Ha)]]</f>
        <v>1.0399334442595675E-2</v>
      </c>
      <c r="T241" s="11">
        <f>Table1_2[[#This Row],[Yield per Acre]]/N241</f>
        <v>0.3118915127705707</v>
      </c>
    </row>
    <row r="242" spans="1:20" x14ac:dyDescent="0.3">
      <c r="A242" s="8" t="s">
        <v>307</v>
      </c>
      <c r="B242" s="9">
        <v>2017</v>
      </c>
      <c r="C242" s="9" t="str">
        <f t="shared" si="3"/>
        <v>1905-07</v>
      </c>
      <c r="D242" s="10">
        <v>2017</v>
      </c>
      <c r="E242" s="8" t="s">
        <v>17</v>
      </c>
      <c r="F242" s="8" t="s">
        <v>72</v>
      </c>
      <c r="G242" s="8" t="s">
        <v>19</v>
      </c>
      <c r="H242" s="8" t="s">
        <v>64</v>
      </c>
      <c r="I242" s="10">
        <v>58.5</v>
      </c>
      <c r="J242" s="10">
        <v>235.91</v>
      </c>
      <c r="K242" s="10">
        <v>4032.57</v>
      </c>
      <c r="L242" s="8" t="s">
        <v>28</v>
      </c>
      <c r="M242" s="8" t="s">
        <v>41</v>
      </c>
      <c r="N242" s="10">
        <v>68.709999999999994</v>
      </c>
      <c r="O242" s="10">
        <v>767.82</v>
      </c>
      <c r="P242" s="8" t="s">
        <v>52</v>
      </c>
      <c r="Q242" s="10">
        <v>29.94</v>
      </c>
      <c r="R242" s="10">
        <f xml:space="preserve"> Table1_2[[#This Row],[Yield (Kg/Ha)]]/Table1_2[[#This Row],[Area (Hectares)]]</f>
        <v>68.932820512820513</v>
      </c>
      <c r="S242" s="10">
        <f>Table1_2[[#This Row],[Yield per Acre]]/Table1_2[[#This Row],[Yield (Kg/Ha)]]</f>
        <v>1.7094017094017092E-2</v>
      </c>
      <c r="T242" s="11">
        <f>Table1_2[[#This Row],[Yield per Acre]]/N242</f>
        <v>1.0032429124264375</v>
      </c>
    </row>
    <row r="243" spans="1:20" x14ac:dyDescent="0.3">
      <c r="A243" s="8" t="s">
        <v>308</v>
      </c>
      <c r="B243" s="9">
        <v>2016</v>
      </c>
      <c r="C243" s="9" t="str">
        <f t="shared" si="3"/>
        <v>1905-07</v>
      </c>
      <c r="D243" s="10">
        <v>2015</v>
      </c>
      <c r="E243" s="8" t="s">
        <v>31</v>
      </c>
      <c r="F243" s="8" t="s">
        <v>32</v>
      </c>
      <c r="G243" s="8" t="s">
        <v>38</v>
      </c>
      <c r="H243" s="8" t="s">
        <v>39</v>
      </c>
      <c r="I243" s="10">
        <v>83.36</v>
      </c>
      <c r="J243" s="10">
        <v>246.54</v>
      </c>
      <c r="K243" s="10">
        <v>2957.51</v>
      </c>
      <c r="L243" s="8" t="s">
        <v>28</v>
      </c>
      <c r="M243" s="8" t="s">
        <v>22</v>
      </c>
      <c r="N243" s="10">
        <v>117.99</v>
      </c>
      <c r="O243" s="10">
        <v>274.69</v>
      </c>
      <c r="P243" s="8" t="s">
        <v>42</v>
      </c>
      <c r="Q243" s="10">
        <v>22.04</v>
      </c>
      <c r="R243" s="10">
        <f xml:space="preserve"> Table1_2[[#This Row],[Yield (Kg/Ha)]]/Table1_2[[#This Row],[Area (Hectares)]]</f>
        <v>35.47876679462572</v>
      </c>
      <c r="S243" s="10">
        <f>Table1_2[[#This Row],[Yield per Acre]]/Table1_2[[#This Row],[Yield (Kg/Ha)]]</f>
        <v>1.199616122840691E-2</v>
      </c>
      <c r="T243" s="11">
        <f>Table1_2[[#This Row],[Yield per Acre]]/N243</f>
        <v>0.3006929976661219</v>
      </c>
    </row>
    <row r="244" spans="1:20" x14ac:dyDescent="0.3">
      <c r="A244" s="8" t="s">
        <v>309</v>
      </c>
      <c r="B244" s="9">
        <v>2012</v>
      </c>
      <c r="C244" s="9" t="str">
        <f t="shared" si="3"/>
        <v>1905-07</v>
      </c>
      <c r="D244" s="10">
        <v>2012</v>
      </c>
      <c r="E244" s="8" t="s">
        <v>103</v>
      </c>
      <c r="F244" s="8" t="s">
        <v>104</v>
      </c>
      <c r="G244" s="8" t="s">
        <v>38</v>
      </c>
      <c r="H244" s="8" t="s">
        <v>46</v>
      </c>
      <c r="I244" s="10">
        <v>32.090000000000003</v>
      </c>
      <c r="J244" s="10">
        <v>55.34</v>
      </c>
      <c r="K244" s="10">
        <v>1724.42</v>
      </c>
      <c r="L244" s="8" t="s">
        <v>34</v>
      </c>
      <c r="M244" s="8" t="s">
        <v>22</v>
      </c>
      <c r="N244" s="10">
        <v>291.16000000000003</v>
      </c>
      <c r="O244" s="10">
        <v>407.64</v>
      </c>
      <c r="P244" s="8" t="s">
        <v>70</v>
      </c>
      <c r="Q244" s="10">
        <v>26.95</v>
      </c>
      <c r="R244" s="10">
        <f xml:space="preserve"> Table1_2[[#This Row],[Yield (Kg/Ha)]]/Table1_2[[#This Row],[Area (Hectares)]]</f>
        <v>53.736989716422556</v>
      </c>
      <c r="S244" s="10">
        <f>Table1_2[[#This Row],[Yield per Acre]]/Table1_2[[#This Row],[Yield (Kg/Ha)]]</f>
        <v>3.1162355874104077E-2</v>
      </c>
      <c r="T244" s="11">
        <f>Table1_2[[#This Row],[Yield per Acre]]/N244</f>
        <v>0.18456171766871327</v>
      </c>
    </row>
    <row r="245" spans="1:20" x14ac:dyDescent="0.3">
      <c r="A245" s="8" t="s">
        <v>310</v>
      </c>
      <c r="B245" s="9">
        <v>2014</v>
      </c>
      <c r="C245" s="9" t="str">
        <f t="shared" si="3"/>
        <v>1905-07</v>
      </c>
      <c r="D245" s="10">
        <v>2014</v>
      </c>
      <c r="E245" s="8" t="s">
        <v>103</v>
      </c>
      <c r="F245" s="8" t="s">
        <v>228</v>
      </c>
      <c r="G245" s="8" t="s">
        <v>19</v>
      </c>
      <c r="H245" s="8" t="s">
        <v>39</v>
      </c>
      <c r="I245" s="10">
        <v>60.73</v>
      </c>
      <c r="J245" s="10">
        <v>139.08000000000001</v>
      </c>
      <c r="K245" s="10">
        <v>2290.12</v>
      </c>
      <c r="L245" s="8" t="s">
        <v>34</v>
      </c>
      <c r="M245" s="8" t="s">
        <v>49</v>
      </c>
      <c r="N245" s="10">
        <v>87.08</v>
      </c>
      <c r="O245" s="10">
        <v>911.16</v>
      </c>
      <c r="P245" s="8" t="s">
        <v>70</v>
      </c>
      <c r="Q245" s="10">
        <v>25.94</v>
      </c>
      <c r="R245" s="10">
        <f xml:space="preserve"> Table1_2[[#This Row],[Yield (Kg/Ha)]]/Table1_2[[#This Row],[Area (Hectares)]]</f>
        <v>37.709863329491192</v>
      </c>
      <c r="S245" s="10">
        <f>Table1_2[[#This Row],[Yield per Acre]]/Table1_2[[#This Row],[Yield (Kg/Ha)]]</f>
        <v>1.6466326362588508E-2</v>
      </c>
      <c r="T245" s="11">
        <f>Table1_2[[#This Row],[Yield per Acre]]/N245</f>
        <v>0.43304849941997237</v>
      </c>
    </row>
    <row r="246" spans="1:20" x14ac:dyDescent="0.3">
      <c r="A246" s="8" t="s">
        <v>311</v>
      </c>
      <c r="B246" s="9">
        <v>2010</v>
      </c>
      <c r="C246" s="9" t="str">
        <f t="shared" si="3"/>
        <v>1905-07</v>
      </c>
      <c r="D246" s="10">
        <v>2010</v>
      </c>
      <c r="E246" s="8" t="s">
        <v>31</v>
      </c>
      <c r="F246" s="8" t="s">
        <v>82</v>
      </c>
      <c r="G246" s="8" t="s">
        <v>38</v>
      </c>
      <c r="H246" s="8" t="s">
        <v>46</v>
      </c>
      <c r="I246" s="10">
        <v>56.04</v>
      </c>
      <c r="J246" s="10">
        <v>241.01</v>
      </c>
      <c r="K246" s="10">
        <v>4300.7299999999996</v>
      </c>
      <c r="L246" s="8" t="s">
        <v>21</v>
      </c>
      <c r="M246" s="8" t="s">
        <v>41</v>
      </c>
      <c r="N246" s="10">
        <v>165.51</v>
      </c>
      <c r="O246" s="10">
        <v>1003.9</v>
      </c>
      <c r="P246" s="8" t="s">
        <v>42</v>
      </c>
      <c r="Q246" s="10">
        <v>21.82</v>
      </c>
      <c r="R246" s="10">
        <f xml:space="preserve"> Table1_2[[#This Row],[Yield (Kg/Ha)]]/Table1_2[[#This Row],[Area (Hectares)]]</f>
        <v>76.743932905067808</v>
      </c>
      <c r="S246" s="10">
        <f>Table1_2[[#This Row],[Yield per Acre]]/Table1_2[[#This Row],[Yield (Kg/Ha)]]</f>
        <v>1.7844396859386154E-2</v>
      </c>
      <c r="T246" s="11">
        <f>Table1_2[[#This Row],[Yield per Acre]]/N246</f>
        <v>0.46368154736914879</v>
      </c>
    </row>
    <row r="247" spans="1:20" x14ac:dyDescent="0.3">
      <c r="A247" s="8" t="s">
        <v>312</v>
      </c>
      <c r="B247" s="9">
        <v>2017</v>
      </c>
      <c r="C247" s="9" t="str">
        <f t="shared" si="3"/>
        <v>1905-07</v>
      </c>
      <c r="D247" s="10">
        <v>2016</v>
      </c>
      <c r="E247" s="8" t="s">
        <v>103</v>
      </c>
      <c r="F247" s="8" t="s">
        <v>104</v>
      </c>
      <c r="G247" s="8" t="s">
        <v>38</v>
      </c>
      <c r="H247" s="8" t="s">
        <v>39</v>
      </c>
      <c r="I247" s="10">
        <v>63.4</v>
      </c>
      <c r="J247" s="10">
        <v>308.64</v>
      </c>
      <c r="K247" s="10">
        <v>4868.1099999999997</v>
      </c>
      <c r="L247" s="8" t="s">
        <v>34</v>
      </c>
      <c r="M247" s="8" t="s">
        <v>41</v>
      </c>
      <c r="N247" s="10">
        <v>279.36</v>
      </c>
      <c r="O247" s="10">
        <v>274.99</v>
      </c>
      <c r="P247" s="8" t="s">
        <v>23</v>
      </c>
      <c r="Q247" s="10">
        <v>22.97</v>
      </c>
      <c r="R247" s="10">
        <f xml:space="preserve"> Table1_2[[#This Row],[Yield (Kg/Ha)]]/Table1_2[[#This Row],[Area (Hectares)]]</f>
        <v>76.784069400630912</v>
      </c>
      <c r="S247" s="10">
        <f>Table1_2[[#This Row],[Yield per Acre]]/Table1_2[[#This Row],[Yield (Kg/Ha)]]</f>
        <v>1.5772870662460567E-2</v>
      </c>
      <c r="T247" s="11">
        <f>Table1_2[[#This Row],[Yield per Acre]]/N247</f>
        <v>0.27485706400569482</v>
      </c>
    </row>
    <row r="248" spans="1:20" x14ac:dyDescent="0.3">
      <c r="A248" s="8" t="s">
        <v>313</v>
      </c>
      <c r="B248" s="9">
        <v>2011</v>
      </c>
      <c r="C248" s="9" t="str">
        <f t="shared" si="3"/>
        <v>1905-07</v>
      </c>
      <c r="D248" s="10">
        <v>2011</v>
      </c>
      <c r="E248" s="8" t="s">
        <v>25</v>
      </c>
      <c r="F248" s="8" t="s">
        <v>87</v>
      </c>
      <c r="G248" s="8" t="s">
        <v>33</v>
      </c>
      <c r="H248" s="8" t="s">
        <v>46</v>
      </c>
      <c r="I248" s="10">
        <v>6.01</v>
      </c>
      <c r="J248" s="10">
        <v>39.33</v>
      </c>
      <c r="K248" s="10">
        <v>6544.79</v>
      </c>
      <c r="L248" s="8" t="s">
        <v>28</v>
      </c>
      <c r="M248" s="8" t="s">
        <v>41</v>
      </c>
      <c r="N248" s="10">
        <v>255.42</v>
      </c>
      <c r="O248" s="10">
        <v>595</v>
      </c>
      <c r="P248" s="8" t="s">
        <v>23</v>
      </c>
      <c r="Q248" s="10">
        <v>25.74</v>
      </c>
      <c r="R248" s="10">
        <f xml:space="preserve"> Table1_2[[#This Row],[Yield (Kg/Ha)]]/Table1_2[[#This Row],[Area (Hectares)]]</f>
        <v>1088.9833610648918</v>
      </c>
      <c r="S248" s="10">
        <f>Table1_2[[#This Row],[Yield per Acre]]/Table1_2[[#This Row],[Yield (Kg/Ha)]]</f>
        <v>0.16638935108153077</v>
      </c>
      <c r="T248" s="11">
        <f>Table1_2[[#This Row],[Yield per Acre]]/N248</f>
        <v>4.2635007480420164</v>
      </c>
    </row>
    <row r="249" spans="1:20" x14ac:dyDescent="0.3">
      <c r="A249" s="8" t="s">
        <v>314</v>
      </c>
      <c r="B249" s="9">
        <v>2012</v>
      </c>
      <c r="C249" s="9" t="str">
        <f t="shared" si="3"/>
        <v>1905-07</v>
      </c>
      <c r="D249" s="10">
        <v>2012</v>
      </c>
      <c r="E249" s="8" t="s">
        <v>31</v>
      </c>
      <c r="F249" s="8" t="s">
        <v>82</v>
      </c>
      <c r="G249" s="8" t="s">
        <v>38</v>
      </c>
      <c r="H249" s="8" t="s">
        <v>20</v>
      </c>
      <c r="I249" s="10">
        <v>45.16</v>
      </c>
      <c r="J249" s="10">
        <v>85.43</v>
      </c>
      <c r="K249" s="10">
        <v>1891.79</v>
      </c>
      <c r="L249" s="8" t="s">
        <v>40</v>
      </c>
      <c r="M249" s="8" t="s">
        <v>49</v>
      </c>
      <c r="N249" s="10">
        <v>211.82</v>
      </c>
      <c r="O249" s="10">
        <v>698.89</v>
      </c>
      <c r="P249" s="8" t="s">
        <v>61</v>
      </c>
      <c r="Q249" s="10">
        <v>27.19</v>
      </c>
      <c r="R249" s="10">
        <f xml:space="preserve"> Table1_2[[#This Row],[Yield (Kg/Ha)]]/Table1_2[[#This Row],[Area (Hectares)]]</f>
        <v>41.890832595217006</v>
      </c>
      <c r="S249" s="10">
        <f>Table1_2[[#This Row],[Yield per Acre]]/Table1_2[[#This Row],[Yield (Kg/Ha)]]</f>
        <v>2.2143489813994686E-2</v>
      </c>
      <c r="T249" s="11">
        <f>Table1_2[[#This Row],[Yield per Acre]]/N249</f>
        <v>0.19776618164109624</v>
      </c>
    </row>
    <row r="250" spans="1:20" x14ac:dyDescent="0.3">
      <c r="A250" s="8" t="s">
        <v>315</v>
      </c>
      <c r="B250" s="9">
        <v>2016</v>
      </c>
      <c r="C250" s="9" t="str">
        <f t="shared" si="3"/>
        <v>1905-07</v>
      </c>
      <c r="D250" s="10">
        <v>2016</v>
      </c>
      <c r="E250" s="8" t="s">
        <v>36</v>
      </c>
      <c r="F250" s="8" t="s">
        <v>37</v>
      </c>
      <c r="G250" s="8" t="s">
        <v>33</v>
      </c>
      <c r="H250" s="8" t="s">
        <v>39</v>
      </c>
      <c r="I250" s="10">
        <v>88.58</v>
      </c>
      <c r="J250" s="10">
        <v>368.04</v>
      </c>
      <c r="K250" s="10">
        <v>4154.88</v>
      </c>
      <c r="L250" s="8" t="s">
        <v>21</v>
      </c>
      <c r="M250" s="8" t="s">
        <v>49</v>
      </c>
      <c r="N250" s="10">
        <v>297.35000000000002</v>
      </c>
      <c r="O250" s="10">
        <v>981.92</v>
      </c>
      <c r="P250" s="8" t="s">
        <v>70</v>
      </c>
      <c r="Q250" s="10">
        <v>27.2</v>
      </c>
      <c r="R250" s="10">
        <f xml:space="preserve"> Table1_2[[#This Row],[Yield (Kg/Ha)]]/Table1_2[[#This Row],[Area (Hectares)]]</f>
        <v>46.905396251975617</v>
      </c>
      <c r="S250" s="10">
        <f>Table1_2[[#This Row],[Yield per Acre]]/Table1_2[[#This Row],[Yield (Kg/Ha)]]</f>
        <v>1.1289230074508919E-2</v>
      </c>
      <c r="T250" s="11">
        <f>Table1_2[[#This Row],[Yield per Acre]]/N250</f>
        <v>0.15774473264494909</v>
      </c>
    </row>
    <row r="251" spans="1:20" x14ac:dyDescent="0.3">
      <c r="A251" s="8" t="s">
        <v>316</v>
      </c>
      <c r="B251" s="9">
        <v>2016</v>
      </c>
      <c r="C251" s="9" t="str">
        <f t="shared" si="3"/>
        <v>1905-07</v>
      </c>
      <c r="D251" s="10">
        <v>2015</v>
      </c>
      <c r="E251" s="8" t="s">
        <v>59</v>
      </c>
      <c r="F251" s="8" t="s">
        <v>93</v>
      </c>
      <c r="G251" s="8" t="s">
        <v>38</v>
      </c>
      <c r="H251" s="8" t="s">
        <v>20</v>
      </c>
      <c r="I251" s="10">
        <v>18.8</v>
      </c>
      <c r="J251" s="10">
        <v>54.77</v>
      </c>
      <c r="K251" s="10">
        <v>2913.27</v>
      </c>
      <c r="L251" s="8" t="s">
        <v>40</v>
      </c>
      <c r="M251" s="8" t="s">
        <v>47</v>
      </c>
      <c r="N251" s="10">
        <v>57.33</v>
      </c>
      <c r="O251" s="10">
        <v>1010.69</v>
      </c>
      <c r="P251" s="8" t="s">
        <v>70</v>
      </c>
      <c r="Q251" s="10">
        <v>20.88</v>
      </c>
      <c r="R251" s="10">
        <f xml:space="preserve"> Table1_2[[#This Row],[Yield (Kg/Ha)]]/Table1_2[[#This Row],[Area (Hectares)]]</f>
        <v>154.96117021276595</v>
      </c>
      <c r="S251" s="10">
        <f>Table1_2[[#This Row],[Yield per Acre]]/Table1_2[[#This Row],[Yield (Kg/Ha)]]</f>
        <v>5.3191489361702128E-2</v>
      </c>
      <c r="T251" s="11">
        <f>Table1_2[[#This Row],[Yield per Acre]]/N251</f>
        <v>2.7029682576795038</v>
      </c>
    </row>
    <row r="252" spans="1:20" x14ac:dyDescent="0.3">
      <c r="A252" s="8" t="s">
        <v>317</v>
      </c>
      <c r="B252" s="9">
        <v>2013</v>
      </c>
      <c r="C252" s="9" t="str">
        <f t="shared" si="3"/>
        <v>1905-07</v>
      </c>
      <c r="D252" s="10">
        <v>2013</v>
      </c>
      <c r="E252" s="8" t="s">
        <v>31</v>
      </c>
      <c r="F252" s="8" t="s">
        <v>117</v>
      </c>
      <c r="G252" s="8" t="s">
        <v>33</v>
      </c>
      <c r="H252" s="8" t="s">
        <v>64</v>
      </c>
      <c r="I252" s="10">
        <v>25.54</v>
      </c>
      <c r="J252" s="10">
        <v>62.49</v>
      </c>
      <c r="K252" s="10">
        <v>2446.92</v>
      </c>
      <c r="L252" s="8" t="s">
        <v>21</v>
      </c>
      <c r="M252" s="8" t="s">
        <v>49</v>
      </c>
      <c r="N252" s="10">
        <v>241.01</v>
      </c>
      <c r="O252" s="10">
        <v>1147.8</v>
      </c>
      <c r="P252" s="8" t="s">
        <v>61</v>
      </c>
      <c r="Q252" s="10">
        <v>32.700000000000003</v>
      </c>
      <c r="R252" s="10">
        <f xml:space="preserve"> Table1_2[[#This Row],[Yield (Kg/Ha)]]/Table1_2[[#This Row],[Area (Hectares)]]</f>
        <v>95.807361002349268</v>
      </c>
      <c r="S252" s="10">
        <f>Table1_2[[#This Row],[Yield per Acre]]/Table1_2[[#This Row],[Yield (Kg/Ha)]]</f>
        <v>3.9154267815191858E-2</v>
      </c>
      <c r="T252" s="11">
        <f>Table1_2[[#This Row],[Yield per Acre]]/N252</f>
        <v>0.39752442223289186</v>
      </c>
    </row>
    <row r="253" spans="1:20" x14ac:dyDescent="0.3">
      <c r="A253" s="8" t="s">
        <v>318</v>
      </c>
      <c r="B253" s="9">
        <v>2012</v>
      </c>
      <c r="C253" s="9" t="str">
        <f t="shared" si="3"/>
        <v>1905-07</v>
      </c>
      <c r="D253" s="10">
        <v>2012</v>
      </c>
      <c r="E253" s="8" t="s">
        <v>44</v>
      </c>
      <c r="F253" s="8" t="s">
        <v>45</v>
      </c>
      <c r="G253" s="8" t="s">
        <v>33</v>
      </c>
      <c r="H253" s="8" t="s">
        <v>27</v>
      </c>
      <c r="I253" s="10">
        <v>32.479999999999997</v>
      </c>
      <c r="J253" s="10">
        <v>176.32</v>
      </c>
      <c r="K253" s="10">
        <v>5428.63</v>
      </c>
      <c r="L253" s="8" t="s">
        <v>34</v>
      </c>
      <c r="M253" s="8" t="s">
        <v>41</v>
      </c>
      <c r="N253" s="10">
        <v>278.5</v>
      </c>
      <c r="O253" s="10">
        <v>228.21</v>
      </c>
      <c r="P253" s="8" t="s">
        <v>70</v>
      </c>
      <c r="Q253" s="10">
        <v>34.21</v>
      </c>
      <c r="R253" s="10">
        <f xml:space="preserve"> Table1_2[[#This Row],[Yield (Kg/Ha)]]/Table1_2[[#This Row],[Area (Hectares)]]</f>
        <v>167.13762315270938</v>
      </c>
      <c r="S253" s="10">
        <f>Table1_2[[#This Row],[Yield per Acre]]/Table1_2[[#This Row],[Yield (Kg/Ha)]]</f>
        <v>3.0788177339901482E-2</v>
      </c>
      <c r="T253" s="11">
        <f>Table1_2[[#This Row],[Yield per Acre]]/N253</f>
        <v>0.60013509211026705</v>
      </c>
    </row>
    <row r="254" spans="1:20" x14ac:dyDescent="0.3">
      <c r="A254" s="8" t="s">
        <v>319</v>
      </c>
      <c r="B254" s="9">
        <v>2022</v>
      </c>
      <c r="C254" s="9" t="str">
        <f t="shared" si="3"/>
        <v>1905-07</v>
      </c>
      <c r="D254" s="10">
        <v>2022</v>
      </c>
      <c r="E254" s="8" t="s">
        <v>59</v>
      </c>
      <c r="F254" s="8" t="s">
        <v>60</v>
      </c>
      <c r="G254" s="8" t="s">
        <v>38</v>
      </c>
      <c r="H254" s="8" t="s">
        <v>27</v>
      </c>
      <c r="I254" s="10">
        <v>31.6</v>
      </c>
      <c r="J254" s="10">
        <v>124.59</v>
      </c>
      <c r="K254" s="10">
        <v>3942.62</v>
      </c>
      <c r="L254" s="8" t="s">
        <v>21</v>
      </c>
      <c r="M254" s="8" t="s">
        <v>49</v>
      </c>
      <c r="N254" s="10">
        <v>64.040000000000006</v>
      </c>
      <c r="O254" s="10">
        <v>801.66</v>
      </c>
      <c r="P254" s="8" t="s">
        <v>23</v>
      </c>
      <c r="Q254" s="10">
        <v>27.9</v>
      </c>
      <c r="R254" s="10">
        <f xml:space="preserve"> Table1_2[[#This Row],[Yield (Kg/Ha)]]/Table1_2[[#This Row],[Area (Hectares)]]</f>
        <v>124.76645569620253</v>
      </c>
      <c r="S254" s="10">
        <f>Table1_2[[#This Row],[Yield per Acre]]/Table1_2[[#This Row],[Yield (Kg/Ha)]]</f>
        <v>3.1645569620253167E-2</v>
      </c>
      <c r="T254" s="11">
        <f>Table1_2[[#This Row],[Yield per Acre]]/N254</f>
        <v>1.9482582088726188</v>
      </c>
    </row>
    <row r="255" spans="1:20" x14ac:dyDescent="0.3">
      <c r="A255" s="8" t="s">
        <v>320</v>
      </c>
      <c r="B255" s="9">
        <v>2022</v>
      </c>
      <c r="C255" s="9" t="str">
        <f t="shared" si="3"/>
        <v>1905-07</v>
      </c>
      <c r="D255" s="10">
        <v>2022</v>
      </c>
      <c r="E255" s="8" t="s">
        <v>59</v>
      </c>
      <c r="F255" s="8" t="s">
        <v>60</v>
      </c>
      <c r="G255" s="8" t="s">
        <v>33</v>
      </c>
      <c r="H255" s="8" t="s">
        <v>20</v>
      </c>
      <c r="I255" s="10">
        <v>71.98</v>
      </c>
      <c r="J255" s="10">
        <v>468.78</v>
      </c>
      <c r="K255" s="10">
        <v>6512.68</v>
      </c>
      <c r="L255" s="8" t="s">
        <v>34</v>
      </c>
      <c r="M255" s="8" t="s">
        <v>49</v>
      </c>
      <c r="N255" s="10">
        <v>64.89</v>
      </c>
      <c r="O255" s="10">
        <v>347.71</v>
      </c>
      <c r="P255" s="8" t="s">
        <v>42</v>
      </c>
      <c r="Q255" s="10">
        <v>31.62</v>
      </c>
      <c r="R255" s="10">
        <f xml:space="preserve"> Table1_2[[#This Row],[Yield (Kg/Ha)]]/Table1_2[[#This Row],[Area (Hectares)]]</f>
        <v>90.479021950541821</v>
      </c>
      <c r="S255" s="10">
        <f>Table1_2[[#This Row],[Yield per Acre]]/Table1_2[[#This Row],[Yield (Kg/Ha)]]</f>
        <v>1.3892747985551542E-2</v>
      </c>
      <c r="T255" s="11">
        <f>Table1_2[[#This Row],[Yield per Acre]]/N255</f>
        <v>1.3943446131999047</v>
      </c>
    </row>
    <row r="256" spans="1:20" x14ac:dyDescent="0.3">
      <c r="A256" s="8" t="s">
        <v>321</v>
      </c>
      <c r="B256" s="9">
        <v>2021</v>
      </c>
      <c r="C256" s="9" t="str">
        <f t="shared" si="3"/>
        <v>1905-07</v>
      </c>
      <c r="D256" s="10">
        <v>2021</v>
      </c>
      <c r="E256" s="8" t="s">
        <v>25</v>
      </c>
      <c r="F256" s="8" t="s">
        <v>87</v>
      </c>
      <c r="G256" s="8" t="s">
        <v>19</v>
      </c>
      <c r="H256" s="8" t="s">
        <v>46</v>
      </c>
      <c r="I256" s="10">
        <v>59.02</v>
      </c>
      <c r="J256" s="10">
        <v>178.2</v>
      </c>
      <c r="K256" s="10">
        <v>3019.37</v>
      </c>
      <c r="L256" s="8" t="s">
        <v>34</v>
      </c>
      <c r="M256" s="8" t="s">
        <v>49</v>
      </c>
      <c r="N256" s="10">
        <v>84.11</v>
      </c>
      <c r="O256" s="10">
        <v>357.5</v>
      </c>
      <c r="P256" s="8" t="s">
        <v>52</v>
      </c>
      <c r="Q256" s="10">
        <v>31.88</v>
      </c>
      <c r="R256" s="10">
        <f xml:space="preserve"> Table1_2[[#This Row],[Yield (Kg/Ha)]]/Table1_2[[#This Row],[Area (Hectares)]]</f>
        <v>51.158420874279898</v>
      </c>
      <c r="S256" s="10">
        <f>Table1_2[[#This Row],[Yield per Acre]]/Table1_2[[#This Row],[Yield (Kg/Ha)]]</f>
        <v>1.6943409013893594E-2</v>
      </c>
      <c r="T256" s="11">
        <f>Table1_2[[#This Row],[Yield per Acre]]/N256</f>
        <v>0.60823232522030557</v>
      </c>
    </row>
    <row r="257" spans="1:20" x14ac:dyDescent="0.3">
      <c r="A257" s="8" t="s">
        <v>322</v>
      </c>
      <c r="B257" s="9">
        <v>2018</v>
      </c>
      <c r="C257" s="9" t="str">
        <f t="shared" si="3"/>
        <v>1905-07</v>
      </c>
      <c r="D257" s="10">
        <v>2018</v>
      </c>
      <c r="E257" s="8" t="s">
        <v>103</v>
      </c>
      <c r="F257" s="8" t="s">
        <v>228</v>
      </c>
      <c r="G257" s="8" t="s">
        <v>19</v>
      </c>
      <c r="H257" s="8" t="s">
        <v>27</v>
      </c>
      <c r="I257" s="10">
        <v>78.91</v>
      </c>
      <c r="J257" s="10">
        <v>184.6</v>
      </c>
      <c r="K257" s="10">
        <v>2339.42</v>
      </c>
      <c r="L257" s="8" t="s">
        <v>40</v>
      </c>
      <c r="M257" s="8" t="s">
        <v>22</v>
      </c>
      <c r="N257" s="10">
        <v>144.6</v>
      </c>
      <c r="O257" s="10">
        <v>933.99</v>
      </c>
      <c r="P257" s="8" t="s">
        <v>70</v>
      </c>
      <c r="Q257" s="10">
        <v>21.91</v>
      </c>
      <c r="R257" s="10">
        <f xml:space="preserve"> Table1_2[[#This Row],[Yield (Kg/Ha)]]/Table1_2[[#This Row],[Area (Hectares)]]</f>
        <v>29.64668609808643</v>
      </c>
      <c r="S257" s="10">
        <f>Table1_2[[#This Row],[Yield per Acre]]/Table1_2[[#This Row],[Yield (Kg/Ha)]]</f>
        <v>1.2672665061462427E-2</v>
      </c>
      <c r="T257" s="11">
        <f>Table1_2[[#This Row],[Yield per Acre]]/N257</f>
        <v>0.20502549168801129</v>
      </c>
    </row>
    <row r="258" spans="1:20" x14ac:dyDescent="0.3">
      <c r="A258" s="8" t="s">
        <v>323</v>
      </c>
      <c r="B258" s="9">
        <v>2016</v>
      </c>
      <c r="C258" s="9" t="str">
        <f t="shared" ref="C258:C321" si="4">TEXT(B258,"YYYY-MM")</f>
        <v>1905-07</v>
      </c>
      <c r="D258" s="10">
        <v>2016</v>
      </c>
      <c r="E258" s="8" t="s">
        <v>17</v>
      </c>
      <c r="F258" s="8" t="s">
        <v>54</v>
      </c>
      <c r="G258" s="8" t="s">
        <v>19</v>
      </c>
      <c r="H258" s="8" t="s">
        <v>64</v>
      </c>
      <c r="I258" s="10">
        <v>19.03</v>
      </c>
      <c r="J258" s="10">
        <v>55.36</v>
      </c>
      <c r="K258" s="10">
        <v>2909.3</v>
      </c>
      <c r="L258" s="8" t="s">
        <v>40</v>
      </c>
      <c r="M258" s="8" t="s">
        <v>22</v>
      </c>
      <c r="N258" s="10">
        <v>209.91</v>
      </c>
      <c r="O258" s="10">
        <v>304.11</v>
      </c>
      <c r="P258" s="8" t="s">
        <v>52</v>
      </c>
      <c r="Q258" s="10">
        <v>22.11</v>
      </c>
      <c r="R258" s="10">
        <f xml:space="preserve"> Table1_2[[#This Row],[Yield (Kg/Ha)]]/Table1_2[[#This Row],[Area (Hectares)]]</f>
        <v>152.87966368891225</v>
      </c>
      <c r="S258" s="10">
        <f>Table1_2[[#This Row],[Yield per Acre]]/Table1_2[[#This Row],[Yield (Kg/Ha)]]</f>
        <v>5.2548607461902257E-2</v>
      </c>
      <c r="T258" s="11">
        <f>Table1_2[[#This Row],[Yield per Acre]]/N258</f>
        <v>0.72831053160360271</v>
      </c>
    </row>
    <row r="259" spans="1:20" x14ac:dyDescent="0.3">
      <c r="A259" s="8" t="s">
        <v>324</v>
      </c>
      <c r="B259" s="9">
        <v>2015</v>
      </c>
      <c r="C259" s="9" t="str">
        <f t="shared" si="4"/>
        <v>1905-07</v>
      </c>
      <c r="D259" s="10">
        <v>2015</v>
      </c>
      <c r="E259" s="8" t="s">
        <v>103</v>
      </c>
      <c r="F259" s="8" t="s">
        <v>107</v>
      </c>
      <c r="G259" s="8" t="s">
        <v>33</v>
      </c>
      <c r="H259" s="8" t="s">
        <v>39</v>
      </c>
      <c r="I259" s="10">
        <v>88.65</v>
      </c>
      <c r="J259" s="10">
        <v>135.84</v>
      </c>
      <c r="K259" s="10">
        <v>1532.36</v>
      </c>
      <c r="L259" s="8" t="s">
        <v>34</v>
      </c>
      <c r="M259" s="8" t="s">
        <v>49</v>
      </c>
      <c r="N259" s="10">
        <v>161.66</v>
      </c>
      <c r="O259" s="10">
        <v>465.21</v>
      </c>
      <c r="P259" s="8" t="s">
        <v>42</v>
      </c>
      <c r="Q259" s="10">
        <v>30.4</v>
      </c>
      <c r="R259" s="10">
        <f xml:space="preserve"> Table1_2[[#This Row],[Yield (Kg/Ha)]]/Table1_2[[#This Row],[Area (Hectares)]]</f>
        <v>17.285504794134233</v>
      </c>
      <c r="S259" s="10">
        <f>Table1_2[[#This Row],[Yield per Acre]]/Table1_2[[#This Row],[Yield (Kg/Ha)]]</f>
        <v>1.1280315848843767E-2</v>
      </c>
      <c r="T259" s="11">
        <f>Table1_2[[#This Row],[Yield per Acre]]/N259</f>
        <v>0.1069250574918609</v>
      </c>
    </row>
    <row r="260" spans="1:20" x14ac:dyDescent="0.3">
      <c r="A260" s="8" t="s">
        <v>325</v>
      </c>
      <c r="B260" s="9">
        <v>2021</v>
      </c>
      <c r="C260" s="9" t="str">
        <f t="shared" si="4"/>
        <v>1905-07</v>
      </c>
      <c r="D260" s="10">
        <v>2021</v>
      </c>
      <c r="E260" s="8" t="s">
        <v>44</v>
      </c>
      <c r="F260" s="8" t="s">
        <v>45</v>
      </c>
      <c r="G260" s="8" t="s">
        <v>33</v>
      </c>
      <c r="H260" s="8" t="s">
        <v>64</v>
      </c>
      <c r="I260" s="10">
        <v>39.21</v>
      </c>
      <c r="J260" s="10">
        <v>211.56</v>
      </c>
      <c r="K260" s="10">
        <v>5395.51</v>
      </c>
      <c r="L260" s="8" t="s">
        <v>40</v>
      </c>
      <c r="M260" s="8" t="s">
        <v>22</v>
      </c>
      <c r="N260" s="10">
        <v>271.14</v>
      </c>
      <c r="O260" s="10">
        <v>693.08</v>
      </c>
      <c r="P260" s="8" t="s">
        <v>52</v>
      </c>
      <c r="Q260" s="10">
        <v>25.27</v>
      </c>
      <c r="R260" s="10">
        <f xml:space="preserve"> Table1_2[[#This Row],[Yield (Kg/Ha)]]/Table1_2[[#This Row],[Area (Hectares)]]</f>
        <v>137.60545779137976</v>
      </c>
      <c r="S260" s="10">
        <f>Table1_2[[#This Row],[Yield per Acre]]/Table1_2[[#This Row],[Yield (Kg/Ha)]]</f>
        <v>2.5503698036215251E-2</v>
      </c>
      <c r="T260" s="11">
        <f>Table1_2[[#This Row],[Yield per Acre]]/N260</f>
        <v>0.50750703618565973</v>
      </c>
    </row>
    <row r="261" spans="1:20" x14ac:dyDescent="0.3">
      <c r="A261" s="8" t="s">
        <v>326</v>
      </c>
      <c r="B261" s="9">
        <v>2022</v>
      </c>
      <c r="C261" s="9" t="str">
        <f t="shared" si="4"/>
        <v>1905-07</v>
      </c>
      <c r="D261" s="10">
        <v>2022</v>
      </c>
      <c r="E261" s="8" t="s">
        <v>44</v>
      </c>
      <c r="F261" s="8" t="s">
        <v>99</v>
      </c>
      <c r="G261" s="8" t="s">
        <v>19</v>
      </c>
      <c r="H261" s="8" t="s">
        <v>39</v>
      </c>
      <c r="I261" s="10">
        <v>76.069999999999993</v>
      </c>
      <c r="J261" s="10">
        <v>179.03</v>
      </c>
      <c r="K261" s="10">
        <v>2353.5</v>
      </c>
      <c r="L261" s="8" t="s">
        <v>28</v>
      </c>
      <c r="M261" s="8" t="s">
        <v>22</v>
      </c>
      <c r="N261" s="10">
        <v>68.430000000000007</v>
      </c>
      <c r="O261" s="10">
        <v>1045.76</v>
      </c>
      <c r="P261" s="8" t="s">
        <v>70</v>
      </c>
      <c r="Q261" s="10">
        <v>20.3</v>
      </c>
      <c r="R261" s="10">
        <f xml:space="preserve"> Table1_2[[#This Row],[Yield (Kg/Ha)]]/Table1_2[[#This Row],[Area (Hectares)]]</f>
        <v>30.938609175759172</v>
      </c>
      <c r="S261" s="10">
        <f>Table1_2[[#This Row],[Yield per Acre]]/Table1_2[[#This Row],[Yield (Kg/Ha)]]</f>
        <v>1.3145786775338505E-2</v>
      </c>
      <c r="T261" s="11">
        <f>Table1_2[[#This Row],[Yield per Acre]]/N261</f>
        <v>0.45212054911236549</v>
      </c>
    </row>
    <row r="262" spans="1:20" x14ac:dyDescent="0.3">
      <c r="A262" s="8" t="s">
        <v>327</v>
      </c>
      <c r="B262" s="9">
        <v>2013</v>
      </c>
      <c r="C262" s="9" t="str">
        <f t="shared" si="4"/>
        <v>1905-07</v>
      </c>
      <c r="D262" s="10">
        <v>2012</v>
      </c>
      <c r="E262" s="8" t="s">
        <v>25</v>
      </c>
      <c r="F262" s="8" t="s">
        <v>87</v>
      </c>
      <c r="G262" s="8" t="s">
        <v>38</v>
      </c>
      <c r="H262" s="8" t="s">
        <v>56</v>
      </c>
      <c r="I262" s="10">
        <v>73.47</v>
      </c>
      <c r="J262" s="10">
        <v>314.62</v>
      </c>
      <c r="K262" s="10">
        <v>4282.28</v>
      </c>
      <c r="L262" s="8" t="s">
        <v>21</v>
      </c>
      <c r="M262" s="8" t="s">
        <v>41</v>
      </c>
      <c r="N262" s="10">
        <v>134.49</v>
      </c>
      <c r="O262" s="10">
        <v>1185.28</v>
      </c>
      <c r="P262" s="8" t="s">
        <v>52</v>
      </c>
      <c r="Q262" s="10">
        <v>30.57</v>
      </c>
      <c r="R262" s="10">
        <f xml:space="preserve"> Table1_2[[#This Row],[Yield (Kg/Ha)]]/Table1_2[[#This Row],[Area (Hectares)]]</f>
        <v>58.286103171362456</v>
      </c>
      <c r="S262" s="10">
        <f>Table1_2[[#This Row],[Yield per Acre]]/Table1_2[[#This Row],[Yield (Kg/Ha)]]</f>
        <v>1.3610997686130393E-2</v>
      </c>
      <c r="T262" s="11">
        <f>Table1_2[[#This Row],[Yield per Acre]]/N262</f>
        <v>0.43338614894313665</v>
      </c>
    </row>
    <row r="263" spans="1:20" x14ac:dyDescent="0.3">
      <c r="A263" s="8" t="s">
        <v>328</v>
      </c>
      <c r="B263" s="9">
        <v>2012</v>
      </c>
      <c r="C263" s="9" t="str">
        <f t="shared" si="4"/>
        <v>1905-07</v>
      </c>
      <c r="D263" s="10">
        <v>2012</v>
      </c>
      <c r="E263" s="8" t="s">
        <v>59</v>
      </c>
      <c r="F263" s="8" t="s">
        <v>63</v>
      </c>
      <c r="G263" s="8" t="s">
        <v>33</v>
      </c>
      <c r="H263" s="8" t="s">
        <v>64</v>
      </c>
      <c r="I263" s="10">
        <v>33.78</v>
      </c>
      <c r="J263" s="10">
        <v>231.27</v>
      </c>
      <c r="K263" s="10">
        <v>6846.39</v>
      </c>
      <c r="L263" s="8" t="s">
        <v>28</v>
      </c>
      <c r="M263" s="8" t="s">
        <v>49</v>
      </c>
      <c r="N263" s="10">
        <v>224.3</v>
      </c>
      <c r="O263" s="10">
        <v>922.04</v>
      </c>
      <c r="P263" s="8" t="s">
        <v>61</v>
      </c>
      <c r="Q263" s="10">
        <v>23.98</v>
      </c>
      <c r="R263" s="10">
        <f xml:space="preserve"> Table1_2[[#This Row],[Yield (Kg/Ha)]]/Table1_2[[#This Row],[Area (Hectares)]]</f>
        <v>202.67584369449378</v>
      </c>
      <c r="S263" s="10">
        <f>Table1_2[[#This Row],[Yield per Acre]]/Table1_2[[#This Row],[Yield (Kg/Ha)]]</f>
        <v>2.9603315571343988E-2</v>
      </c>
      <c r="T263" s="11">
        <f>Table1_2[[#This Row],[Yield per Acre]]/N263</f>
        <v>0.90359270483501453</v>
      </c>
    </row>
    <row r="264" spans="1:20" x14ac:dyDescent="0.3">
      <c r="A264" s="8" t="s">
        <v>329</v>
      </c>
      <c r="B264" s="9">
        <v>2011</v>
      </c>
      <c r="C264" s="9" t="str">
        <f t="shared" si="4"/>
        <v>1905-07</v>
      </c>
      <c r="D264" s="10">
        <v>2010</v>
      </c>
      <c r="E264" s="8" t="s">
        <v>103</v>
      </c>
      <c r="F264" s="8" t="s">
        <v>104</v>
      </c>
      <c r="G264" s="8" t="s">
        <v>38</v>
      </c>
      <c r="H264" s="8" t="s">
        <v>27</v>
      </c>
      <c r="I264" s="10">
        <v>55.42</v>
      </c>
      <c r="J264" s="10">
        <v>218.67</v>
      </c>
      <c r="K264" s="10">
        <v>3945.69</v>
      </c>
      <c r="L264" s="8" t="s">
        <v>21</v>
      </c>
      <c r="M264" s="8" t="s">
        <v>41</v>
      </c>
      <c r="N264" s="10">
        <v>140.21</v>
      </c>
      <c r="O264" s="10">
        <v>627.61</v>
      </c>
      <c r="P264" s="8" t="s">
        <v>70</v>
      </c>
      <c r="Q264" s="10">
        <v>32.36</v>
      </c>
      <c r="R264" s="10">
        <f xml:space="preserve"> Table1_2[[#This Row],[Yield (Kg/Ha)]]/Table1_2[[#This Row],[Area (Hectares)]]</f>
        <v>71.196138578130643</v>
      </c>
      <c r="S264" s="10">
        <f>Table1_2[[#This Row],[Yield per Acre]]/Table1_2[[#This Row],[Yield (Kg/Ha)]]</f>
        <v>1.804402742692169E-2</v>
      </c>
      <c r="T264" s="11">
        <f>Table1_2[[#This Row],[Yield per Acre]]/N264</f>
        <v>0.50778217372605838</v>
      </c>
    </row>
    <row r="265" spans="1:20" x14ac:dyDescent="0.3">
      <c r="A265" s="8" t="s">
        <v>330</v>
      </c>
      <c r="B265" s="9">
        <v>2013</v>
      </c>
      <c r="C265" s="9" t="str">
        <f t="shared" si="4"/>
        <v>1905-07</v>
      </c>
      <c r="D265" s="10">
        <v>2013</v>
      </c>
      <c r="E265" s="8" t="s">
        <v>25</v>
      </c>
      <c r="F265" s="8" t="s">
        <v>26</v>
      </c>
      <c r="G265" s="8" t="s">
        <v>33</v>
      </c>
      <c r="H265" s="8" t="s">
        <v>39</v>
      </c>
      <c r="I265" s="10">
        <v>29.89</v>
      </c>
      <c r="J265" s="10">
        <v>44.58</v>
      </c>
      <c r="K265" s="10">
        <v>1491.62</v>
      </c>
      <c r="L265" s="8" t="s">
        <v>21</v>
      </c>
      <c r="M265" s="8" t="s">
        <v>22</v>
      </c>
      <c r="N265" s="10">
        <v>127.09</v>
      </c>
      <c r="O265" s="10">
        <v>597.47</v>
      </c>
      <c r="P265" s="8" t="s">
        <v>52</v>
      </c>
      <c r="Q265" s="10">
        <v>33.42</v>
      </c>
      <c r="R265" s="10">
        <f xml:space="preserve"> Table1_2[[#This Row],[Yield (Kg/Ha)]]/Table1_2[[#This Row],[Area (Hectares)]]</f>
        <v>49.903646704583466</v>
      </c>
      <c r="S265" s="10">
        <f>Table1_2[[#This Row],[Yield per Acre]]/Table1_2[[#This Row],[Yield (Kg/Ha)]]</f>
        <v>3.3456005352960852E-2</v>
      </c>
      <c r="T265" s="11">
        <f>Table1_2[[#This Row],[Yield per Acre]]/N265</f>
        <v>0.39266383432672486</v>
      </c>
    </row>
    <row r="266" spans="1:20" x14ac:dyDescent="0.3">
      <c r="A266" s="8" t="s">
        <v>331</v>
      </c>
      <c r="B266" s="9">
        <v>2016</v>
      </c>
      <c r="C266" s="9" t="str">
        <f t="shared" si="4"/>
        <v>1905-07</v>
      </c>
      <c r="D266" s="10">
        <v>2016</v>
      </c>
      <c r="E266" s="8" t="s">
        <v>17</v>
      </c>
      <c r="F266" s="8" t="s">
        <v>54</v>
      </c>
      <c r="G266" s="8" t="s">
        <v>33</v>
      </c>
      <c r="H266" s="8" t="s">
        <v>20</v>
      </c>
      <c r="I266" s="10">
        <v>88.66</v>
      </c>
      <c r="J266" s="10">
        <v>285.17</v>
      </c>
      <c r="K266" s="10">
        <v>3216.41</v>
      </c>
      <c r="L266" s="8" t="s">
        <v>28</v>
      </c>
      <c r="M266" s="8" t="s">
        <v>47</v>
      </c>
      <c r="N266" s="10">
        <v>61.15</v>
      </c>
      <c r="O266" s="10">
        <v>639.74</v>
      </c>
      <c r="P266" s="8" t="s">
        <v>70</v>
      </c>
      <c r="Q266" s="10">
        <v>23.39</v>
      </c>
      <c r="R266" s="10">
        <f xml:space="preserve"> Table1_2[[#This Row],[Yield (Kg/Ha)]]/Table1_2[[#This Row],[Area (Hectares)]]</f>
        <v>36.27802842318971</v>
      </c>
      <c r="S266" s="10">
        <f>Table1_2[[#This Row],[Yield per Acre]]/Table1_2[[#This Row],[Yield (Kg/Ha)]]</f>
        <v>1.1279043537108053E-2</v>
      </c>
      <c r="T266" s="11">
        <f>Table1_2[[#This Row],[Yield per Acre]]/N266</f>
        <v>0.59326293414864617</v>
      </c>
    </row>
    <row r="267" spans="1:20" x14ac:dyDescent="0.3">
      <c r="A267" s="8" t="s">
        <v>332</v>
      </c>
      <c r="B267" s="9">
        <v>2022</v>
      </c>
      <c r="C267" s="9" t="str">
        <f t="shared" si="4"/>
        <v>1905-07</v>
      </c>
      <c r="D267" s="10">
        <v>2022</v>
      </c>
      <c r="E267" s="8" t="s">
        <v>25</v>
      </c>
      <c r="F267" s="8" t="s">
        <v>26</v>
      </c>
      <c r="G267" s="8" t="s">
        <v>19</v>
      </c>
      <c r="H267" s="8" t="s">
        <v>39</v>
      </c>
      <c r="I267" s="10">
        <v>10.57</v>
      </c>
      <c r="J267" s="10">
        <v>52.94</v>
      </c>
      <c r="K267" s="10">
        <v>5008.8500000000004</v>
      </c>
      <c r="L267" s="8" t="s">
        <v>28</v>
      </c>
      <c r="M267" s="8" t="s">
        <v>47</v>
      </c>
      <c r="N267" s="10">
        <v>292.68</v>
      </c>
      <c r="O267" s="10">
        <v>789.73</v>
      </c>
      <c r="P267" s="8" t="s">
        <v>61</v>
      </c>
      <c r="Q267" s="10">
        <v>20.91</v>
      </c>
      <c r="R267" s="10">
        <f xml:space="preserve"> Table1_2[[#This Row],[Yield (Kg/Ha)]]/Table1_2[[#This Row],[Area (Hectares)]]</f>
        <v>473.8741721854305</v>
      </c>
      <c r="S267" s="10">
        <f>Table1_2[[#This Row],[Yield per Acre]]/Table1_2[[#This Row],[Yield (Kg/Ha)]]</f>
        <v>9.46073793755913E-2</v>
      </c>
      <c r="T267" s="11">
        <f>Table1_2[[#This Row],[Yield per Acre]]/N267</f>
        <v>1.6190862791630125</v>
      </c>
    </row>
    <row r="268" spans="1:20" x14ac:dyDescent="0.3">
      <c r="A268" s="8" t="s">
        <v>333</v>
      </c>
      <c r="B268" s="9">
        <v>2021</v>
      </c>
      <c r="C268" s="9" t="str">
        <f t="shared" si="4"/>
        <v>1905-07</v>
      </c>
      <c r="D268" s="10">
        <v>2020</v>
      </c>
      <c r="E268" s="8" t="s">
        <v>36</v>
      </c>
      <c r="F268" s="8" t="s">
        <v>77</v>
      </c>
      <c r="G268" s="8" t="s">
        <v>38</v>
      </c>
      <c r="H268" s="8" t="s">
        <v>27</v>
      </c>
      <c r="I268" s="10">
        <v>88.28</v>
      </c>
      <c r="J268" s="10">
        <v>340.55</v>
      </c>
      <c r="K268" s="10">
        <v>3857.57</v>
      </c>
      <c r="L268" s="8" t="s">
        <v>21</v>
      </c>
      <c r="M268" s="8" t="s">
        <v>47</v>
      </c>
      <c r="N268" s="10">
        <v>148.69999999999999</v>
      </c>
      <c r="O268" s="10">
        <v>1053.94</v>
      </c>
      <c r="P268" s="8" t="s">
        <v>23</v>
      </c>
      <c r="Q268" s="10">
        <v>27.53</v>
      </c>
      <c r="R268" s="10">
        <f xml:space="preserve"> Table1_2[[#This Row],[Yield (Kg/Ha)]]/Table1_2[[#This Row],[Area (Hectares)]]</f>
        <v>43.696986859990936</v>
      </c>
      <c r="S268" s="10">
        <f>Table1_2[[#This Row],[Yield per Acre]]/Table1_2[[#This Row],[Yield (Kg/Ha)]]</f>
        <v>1.1327594019030357E-2</v>
      </c>
      <c r="T268" s="11">
        <f>Table1_2[[#This Row],[Yield per Acre]]/N268</f>
        <v>0.29386003268319394</v>
      </c>
    </row>
    <row r="269" spans="1:20" x14ac:dyDescent="0.3">
      <c r="A269" s="8" t="s">
        <v>334</v>
      </c>
      <c r="B269" s="9">
        <v>2012</v>
      </c>
      <c r="C269" s="9" t="str">
        <f t="shared" si="4"/>
        <v>1905-07</v>
      </c>
      <c r="D269" s="10">
        <v>2012</v>
      </c>
      <c r="E269" s="8" t="s">
        <v>17</v>
      </c>
      <c r="F269" s="8" t="s">
        <v>54</v>
      </c>
      <c r="G269" s="8" t="s">
        <v>33</v>
      </c>
      <c r="H269" s="8" t="s">
        <v>46</v>
      </c>
      <c r="I269" s="10">
        <v>18.12</v>
      </c>
      <c r="J269" s="10">
        <v>125.14</v>
      </c>
      <c r="K269" s="10">
        <v>6906.21</v>
      </c>
      <c r="L269" s="8" t="s">
        <v>40</v>
      </c>
      <c r="M269" s="8" t="s">
        <v>41</v>
      </c>
      <c r="N269" s="10">
        <v>252.12</v>
      </c>
      <c r="O269" s="10">
        <v>326.19</v>
      </c>
      <c r="P269" s="8" t="s">
        <v>52</v>
      </c>
      <c r="Q269" s="10">
        <v>21.18</v>
      </c>
      <c r="R269" s="10">
        <f xml:space="preserve"> Table1_2[[#This Row],[Yield (Kg/Ha)]]/Table1_2[[#This Row],[Area (Hectares)]]</f>
        <v>381.13741721854302</v>
      </c>
      <c r="S269" s="10">
        <f>Table1_2[[#This Row],[Yield per Acre]]/Table1_2[[#This Row],[Yield (Kg/Ha)]]</f>
        <v>5.518763796909492E-2</v>
      </c>
      <c r="T269" s="11">
        <f>Table1_2[[#This Row],[Yield per Acre]]/N269</f>
        <v>1.5117301968052634</v>
      </c>
    </row>
    <row r="270" spans="1:20" x14ac:dyDescent="0.3">
      <c r="A270" s="8" t="s">
        <v>335</v>
      </c>
      <c r="B270" s="9">
        <v>2012</v>
      </c>
      <c r="C270" s="9" t="str">
        <f t="shared" si="4"/>
        <v>1905-07</v>
      </c>
      <c r="D270" s="10">
        <v>2012</v>
      </c>
      <c r="E270" s="8" t="s">
        <v>44</v>
      </c>
      <c r="F270" s="8" t="s">
        <v>67</v>
      </c>
      <c r="G270" s="8" t="s">
        <v>19</v>
      </c>
      <c r="H270" s="8" t="s">
        <v>20</v>
      </c>
      <c r="I270" s="10">
        <v>32.659999999999997</v>
      </c>
      <c r="J270" s="10">
        <v>175.14</v>
      </c>
      <c r="K270" s="10">
        <v>5362.62</v>
      </c>
      <c r="L270" s="8" t="s">
        <v>21</v>
      </c>
      <c r="M270" s="8" t="s">
        <v>47</v>
      </c>
      <c r="N270" s="10">
        <v>71.760000000000005</v>
      </c>
      <c r="O270" s="10">
        <v>756.36</v>
      </c>
      <c r="P270" s="8" t="s">
        <v>61</v>
      </c>
      <c r="Q270" s="10">
        <v>24.89</v>
      </c>
      <c r="R270" s="10">
        <f xml:space="preserve"> Table1_2[[#This Row],[Yield (Kg/Ha)]]/Table1_2[[#This Row],[Area (Hectares)]]</f>
        <v>164.19534598897735</v>
      </c>
      <c r="S270" s="10">
        <f>Table1_2[[#This Row],[Yield per Acre]]/Table1_2[[#This Row],[Yield (Kg/Ha)]]</f>
        <v>3.0618493570116354E-2</v>
      </c>
      <c r="T270" s="11">
        <f>Table1_2[[#This Row],[Yield per Acre]]/N270</f>
        <v>2.2881179764350241</v>
      </c>
    </row>
    <row r="271" spans="1:20" x14ac:dyDescent="0.3">
      <c r="A271" s="8" t="s">
        <v>336</v>
      </c>
      <c r="B271" s="9">
        <v>2022</v>
      </c>
      <c r="C271" s="9" t="str">
        <f t="shared" si="4"/>
        <v>1905-07</v>
      </c>
      <c r="D271" s="10">
        <v>2022</v>
      </c>
      <c r="E271" s="8" t="s">
        <v>36</v>
      </c>
      <c r="F271" s="8" t="s">
        <v>37</v>
      </c>
      <c r="G271" s="8" t="s">
        <v>19</v>
      </c>
      <c r="H271" s="8" t="s">
        <v>27</v>
      </c>
      <c r="I271" s="10">
        <v>59.17</v>
      </c>
      <c r="J271" s="10">
        <v>336.68</v>
      </c>
      <c r="K271" s="10">
        <v>5690.11</v>
      </c>
      <c r="L271" s="8" t="s">
        <v>21</v>
      </c>
      <c r="M271" s="8" t="s">
        <v>22</v>
      </c>
      <c r="N271" s="10">
        <v>153.61000000000001</v>
      </c>
      <c r="O271" s="10">
        <v>348.2</v>
      </c>
      <c r="P271" s="8" t="s">
        <v>61</v>
      </c>
      <c r="Q271" s="10">
        <v>28.74</v>
      </c>
      <c r="R271" s="10">
        <f xml:space="preserve"> Table1_2[[#This Row],[Yield (Kg/Ha)]]/Table1_2[[#This Row],[Area (Hectares)]]</f>
        <v>96.165455467297605</v>
      </c>
      <c r="S271" s="10">
        <f>Table1_2[[#This Row],[Yield per Acre]]/Table1_2[[#This Row],[Yield (Kg/Ha)]]</f>
        <v>1.6900456312320431E-2</v>
      </c>
      <c r="T271" s="11">
        <f>Table1_2[[#This Row],[Yield per Acre]]/N271</f>
        <v>0.62603642645203827</v>
      </c>
    </row>
    <row r="272" spans="1:20" x14ac:dyDescent="0.3">
      <c r="A272" s="8" t="s">
        <v>337</v>
      </c>
      <c r="B272" s="9">
        <v>2022</v>
      </c>
      <c r="C272" s="9" t="str">
        <f t="shared" si="4"/>
        <v>1905-07</v>
      </c>
      <c r="D272" s="10">
        <v>2022</v>
      </c>
      <c r="E272" s="8" t="s">
        <v>25</v>
      </c>
      <c r="F272" s="8" t="s">
        <v>69</v>
      </c>
      <c r="G272" s="8" t="s">
        <v>33</v>
      </c>
      <c r="H272" s="8" t="s">
        <v>20</v>
      </c>
      <c r="I272" s="10">
        <v>86.88</v>
      </c>
      <c r="J272" s="10">
        <v>545.67999999999995</v>
      </c>
      <c r="K272" s="10">
        <v>6280.81</v>
      </c>
      <c r="L272" s="8" t="s">
        <v>28</v>
      </c>
      <c r="M272" s="8" t="s">
        <v>41</v>
      </c>
      <c r="N272" s="10">
        <v>116.03</v>
      </c>
      <c r="O272" s="10">
        <v>854.79</v>
      </c>
      <c r="P272" s="8" t="s">
        <v>61</v>
      </c>
      <c r="Q272" s="10">
        <v>29.13</v>
      </c>
      <c r="R272" s="10">
        <f xml:space="preserve"> Table1_2[[#This Row],[Yield (Kg/Ha)]]/Table1_2[[#This Row],[Area (Hectares)]]</f>
        <v>72.292932780847153</v>
      </c>
      <c r="S272" s="10">
        <f>Table1_2[[#This Row],[Yield per Acre]]/Table1_2[[#This Row],[Yield (Kg/Ha)]]</f>
        <v>1.1510128913443831E-2</v>
      </c>
      <c r="T272" s="11">
        <f>Table1_2[[#This Row],[Yield per Acre]]/N272</f>
        <v>0.62305380316165782</v>
      </c>
    </row>
    <row r="273" spans="1:20" x14ac:dyDescent="0.3">
      <c r="A273" s="8" t="s">
        <v>338</v>
      </c>
      <c r="B273" s="9">
        <v>2012</v>
      </c>
      <c r="C273" s="9" t="str">
        <f t="shared" si="4"/>
        <v>1905-07</v>
      </c>
      <c r="D273" s="10">
        <v>2012</v>
      </c>
      <c r="E273" s="8" t="s">
        <v>31</v>
      </c>
      <c r="F273" s="8" t="s">
        <v>32</v>
      </c>
      <c r="G273" s="8" t="s">
        <v>19</v>
      </c>
      <c r="H273" s="8" t="s">
        <v>27</v>
      </c>
      <c r="I273" s="10">
        <v>68.400000000000006</v>
      </c>
      <c r="J273" s="10">
        <v>233.27</v>
      </c>
      <c r="K273" s="10">
        <v>3410.32</v>
      </c>
      <c r="L273" s="8" t="s">
        <v>28</v>
      </c>
      <c r="M273" s="8" t="s">
        <v>49</v>
      </c>
      <c r="N273" s="10">
        <v>272.39</v>
      </c>
      <c r="O273" s="10">
        <v>531.49</v>
      </c>
      <c r="P273" s="8" t="s">
        <v>42</v>
      </c>
      <c r="Q273" s="10">
        <v>20.74</v>
      </c>
      <c r="R273" s="10">
        <f xml:space="preserve"> Table1_2[[#This Row],[Yield (Kg/Ha)]]/Table1_2[[#This Row],[Area (Hectares)]]</f>
        <v>49.858479532163742</v>
      </c>
      <c r="S273" s="10">
        <f>Table1_2[[#This Row],[Yield per Acre]]/Table1_2[[#This Row],[Yield (Kg/Ha)]]</f>
        <v>1.4619883040935672E-2</v>
      </c>
      <c r="T273" s="11">
        <f>Table1_2[[#This Row],[Yield per Acre]]/N273</f>
        <v>0.18304078538919838</v>
      </c>
    </row>
    <row r="274" spans="1:20" x14ac:dyDescent="0.3">
      <c r="A274" s="8" t="s">
        <v>339</v>
      </c>
      <c r="B274" s="9">
        <v>2016</v>
      </c>
      <c r="C274" s="9" t="str">
        <f t="shared" si="4"/>
        <v>1905-07</v>
      </c>
      <c r="D274" s="10">
        <v>2015</v>
      </c>
      <c r="E274" s="8" t="s">
        <v>31</v>
      </c>
      <c r="F274" s="8" t="s">
        <v>82</v>
      </c>
      <c r="G274" s="8" t="s">
        <v>38</v>
      </c>
      <c r="H274" s="8" t="s">
        <v>20</v>
      </c>
      <c r="I274" s="10">
        <v>28.75</v>
      </c>
      <c r="J274" s="10">
        <v>113.55</v>
      </c>
      <c r="K274" s="10">
        <v>3949.72</v>
      </c>
      <c r="L274" s="8" t="s">
        <v>21</v>
      </c>
      <c r="M274" s="8" t="s">
        <v>49</v>
      </c>
      <c r="N274" s="10">
        <v>293.12</v>
      </c>
      <c r="O274" s="10">
        <v>427.96</v>
      </c>
      <c r="P274" s="8" t="s">
        <v>70</v>
      </c>
      <c r="Q274" s="10">
        <v>34.61</v>
      </c>
      <c r="R274" s="10">
        <f xml:space="preserve"> Table1_2[[#This Row],[Yield (Kg/Ha)]]/Table1_2[[#This Row],[Area (Hectares)]]</f>
        <v>137.38156521739128</v>
      </c>
      <c r="S274" s="10">
        <f>Table1_2[[#This Row],[Yield per Acre]]/Table1_2[[#This Row],[Yield (Kg/Ha)]]</f>
        <v>3.4782608695652167E-2</v>
      </c>
      <c r="T274" s="11">
        <f>Table1_2[[#This Row],[Yield per Acre]]/N274</f>
        <v>0.46868710841085998</v>
      </c>
    </row>
    <row r="275" spans="1:20" x14ac:dyDescent="0.3">
      <c r="A275" s="8" t="s">
        <v>340</v>
      </c>
      <c r="B275" s="9">
        <v>2016</v>
      </c>
      <c r="C275" s="9" t="str">
        <f t="shared" si="4"/>
        <v>1905-07</v>
      </c>
      <c r="D275" s="10">
        <v>2016</v>
      </c>
      <c r="E275" s="8" t="s">
        <v>31</v>
      </c>
      <c r="F275" s="8" t="s">
        <v>117</v>
      </c>
      <c r="G275" s="8" t="s">
        <v>19</v>
      </c>
      <c r="H275" s="8" t="s">
        <v>39</v>
      </c>
      <c r="I275" s="10">
        <v>9.84</v>
      </c>
      <c r="J275" s="10">
        <v>35.92</v>
      </c>
      <c r="K275" s="10">
        <v>3650.3</v>
      </c>
      <c r="L275" s="8" t="s">
        <v>28</v>
      </c>
      <c r="M275" s="8" t="s">
        <v>41</v>
      </c>
      <c r="N275" s="10">
        <v>235.24</v>
      </c>
      <c r="O275" s="10">
        <v>959.49</v>
      </c>
      <c r="P275" s="8" t="s">
        <v>70</v>
      </c>
      <c r="Q275" s="10">
        <v>32.32</v>
      </c>
      <c r="R275" s="10">
        <f xml:space="preserve"> Table1_2[[#This Row],[Yield (Kg/Ha)]]/Table1_2[[#This Row],[Area (Hectares)]]</f>
        <v>370.96544715447158</v>
      </c>
      <c r="S275" s="10">
        <f>Table1_2[[#This Row],[Yield per Acre]]/Table1_2[[#This Row],[Yield (Kg/Ha)]]</f>
        <v>0.1016260162601626</v>
      </c>
      <c r="T275" s="11">
        <f>Table1_2[[#This Row],[Yield per Acre]]/N275</f>
        <v>1.5769658525525911</v>
      </c>
    </row>
    <row r="276" spans="1:20" x14ac:dyDescent="0.3">
      <c r="A276" s="8" t="s">
        <v>341</v>
      </c>
      <c r="B276" s="9">
        <v>2021</v>
      </c>
      <c r="C276" s="9" t="str">
        <f t="shared" si="4"/>
        <v>1905-07</v>
      </c>
      <c r="D276" s="10">
        <v>2021</v>
      </c>
      <c r="E276" s="8" t="s">
        <v>25</v>
      </c>
      <c r="F276" s="8" t="s">
        <v>87</v>
      </c>
      <c r="G276" s="8" t="s">
        <v>19</v>
      </c>
      <c r="H276" s="8" t="s">
        <v>46</v>
      </c>
      <c r="I276" s="10">
        <v>14.43</v>
      </c>
      <c r="J276" s="10">
        <v>88.14</v>
      </c>
      <c r="K276" s="10">
        <v>6107.77</v>
      </c>
      <c r="L276" s="8" t="s">
        <v>21</v>
      </c>
      <c r="M276" s="8" t="s">
        <v>22</v>
      </c>
      <c r="N276" s="10">
        <v>93.43</v>
      </c>
      <c r="O276" s="10">
        <v>1075.18</v>
      </c>
      <c r="P276" s="8" t="s">
        <v>42</v>
      </c>
      <c r="Q276" s="10">
        <v>32.549999999999997</v>
      </c>
      <c r="R276" s="10">
        <f xml:space="preserve"> Table1_2[[#This Row],[Yield (Kg/Ha)]]/Table1_2[[#This Row],[Area (Hectares)]]</f>
        <v>423.26888426888434</v>
      </c>
      <c r="S276" s="10">
        <f>Table1_2[[#This Row],[Yield per Acre]]/Table1_2[[#This Row],[Yield (Kg/Ha)]]</f>
        <v>6.9300069300069309E-2</v>
      </c>
      <c r="T276" s="11">
        <f>Table1_2[[#This Row],[Yield per Acre]]/N276</f>
        <v>4.5303316308346817</v>
      </c>
    </row>
    <row r="277" spans="1:20" x14ac:dyDescent="0.3">
      <c r="A277" s="8" t="s">
        <v>342</v>
      </c>
      <c r="B277" s="9">
        <v>2015</v>
      </c>
      <c r="C277" s="9" t="str">
        <f t="shared" si="4"/>
        <v>1905-07</v>
      </c>
      <c r="D277" s="10">
        <v>2015</v>
      </c>
      <c r="E277" s="8" t="s">
        <v>36</v>
      </c>
      <c r="F277" s="8" t="s">
        <v>37</v>
      </c>
      <c r="G277" s="8" t="s">
        <v>19</v>
      </c>
      <c r="H277" s="8" t="s">
        <v>56</v>
      </c>
      <c r="I277" s="10">
        <v>28.12</v>
      </c>
      <c r="J277" s="10">
        <v>167.06</v>
      </c>
      <c r="K277" s="10">
        <v>5941.04</v>
      </c>
      <c r="L277" s="8" t="s">
        <v>28</v>
      </c>
      <c r="M277" s="8" t="s">
        <v>47</v>
      </c>
      <c r="N277" s="10">
        <v>208.85</v>
      </c>
      <c r="O277" s="10">
        <v>323.87</v>
      </c>
      <c r="P277" s="8" t="s">
        <v>23</v>
      </c>
      <c r="Q277" s="10">
        <v>23.63</v>
      </c>
      <c r="R277" s="10">
        <f xml:space="preserve"> Table1_2[[#This Row],[Yield (Kg/Ha)]]/Table1_2[[#This Row],[Area (Hectares)]]</f>
        <v>211.27453769559031</v>
      </c>
      <c r="S277" s="10">
        <f>Table1_2[[#This Row],[Yield per Acre]]/Table1_2[[#This Row],[Yield (Kg/Ha)]]</f>
        <v>3.556187766714082E-2</v>
      </c>
      <c r="T277" s="11">
        <f>Table1_2[[#This Row],[Yield per Acre]]/N277</f>
        <v>1.0116089906420414</v>
      </c>
    </row>
    <row r="278" spans="1:20" x14ac:dyDescent="0.3">
      <c r="A278" s="8" t="s">
        <v>343</v>
      </c>
      <c r="B278" s="9">
        <v>2017</v>
      </c>
      <c r="C278" s="9" t="str">
        <f t="shared" si="4"/>
        <v>1905-07</v>
      </c>
      <c r="D278" s="10">
        <v>2017</v>
      </c>
      <c r="E278" s="8" t="s">
        <v>36</v>
      </c>
      <c r="F278" s="8" t="s">
        <v>37</v>
      </c>
      <c r="G278" s="8" t="s">
        <v>19</v>
      </c>
      <c r="H278" s="8" t="s">
        <v>27</v>
      </c>
      <c r="I278" s="10">
        <v>35.630000000000003</v>
      </c>
      <c r="J278" s="10">
        <v>70.59</v>
      </c>
      <c r="K278" s="10">
        <v>1981.08</v>
      </c>
      <c r="L278" s="8" t="s">
        <v>34</v>
      </c>
      <c r="M278" s="8" t="s">
        <v>41</v>
      </c>
      <c r="N278" s="10">
        <v>237.24</v>
      </c>
      <c r="O278" s="10">
        <v>888.85</v>
      </c>
      <c r="P278" s="8" t="s">
        <v>70</v>
      </c>
      <c r="Q278" s="10">
        <v>20.41</v>
      </c>
      <c r="R278" s="10">
        <f xml:space="preserve"> Table1_2[[#This Row],[Yield (Kg/Ha)]]/Table1_2[[#This Row],[Area (Hectares)]]</f>
        <v>55.601459444288515</v>
      </c>
      <c r="S278" s="10">
        <f>Table1_2[[#This Row],[Yield per Acre]]/Table1_2[[#This Row],[Yield (Kg/Ha)]]</f>
        <v>2.8066236317709794E-2</v>
      </c>
      <c r="T278" s="11">
        <f>Table1_2[[#This Row],[Yield per Acre]]/N278</f>
        <v>0.23436797944818966</v>
      </c>
    </row>
    <row r="279" spans="1:20" x14ac:dyDescent="0.3">
      <c r="A279" s="8" t="s">
        <v>344</v>
      </c>
      <c r="B279" s="9">
        <v>2022</v>
      </c>
      <c r="C279" s="9" t="str">
        <f t="shared" si="4"/>
        <v>1905-07</v>
      </c>
      <c r="D279" s="10">
        <v>2022</v>
      </c>
      <c r="E279" s="8" t="s">
        <v>44</v>
      </c>
      <c r="F279" s="8" t="s">
        <v>67</v>
      </c>
      <c r="G279" s="8" t="s">
        <v>33</v>
      </c>
      <c r="H279" s="8" t="s">
        <v>56</v>
      </c>
      <c r="I279" s="10">
        <v>65.09</v>
      </c>
      <c r="J279" s="10">
        <v>329.76</v>
      </c>
      <c r="K279" s="10">
        <v>5066.17</v>
      </c>
      <c r="L279" s="8" t="s">
        <v>34</v>
      </c>
      <c r="M279" s="8" t="s">
        <v>41</v>
      </c>
      <c r="N279" s="10">
        <v>212.9</v>
      </c>
      <c r="O279" s="10">
        <v>713.28</v>
      </c>
      <c r="P279" s="8" t="s">
        <v>23</v>
      </c>
      <c r="Q279" s="10">
        <v>27.11</v>
      </c>
      <c r="R279" s="10">
        <f xml:space="preserve"> Table1_2[[#This Row],[Yield (Kg/Ha)]]/Table1_2[[#This Row],[Area (Hectares)]]</f>
        <v>77.833307727761564</v>
      </c>
      <c r="S279" s="10">
        <f>Table1_2[[#This Row],[Yield per Acre]]/Table1_2[[#This Row],[Yield (Kg/Ha)]]</f>
        <v>1.5363343063450607E-2</v>
      </c>
      <c r="T279" s="11">
        <f>Table1_2[[#This Row],[Yield per Acre]]/N279</f>
        <v>0.36558622699747095</v>
      </c>
    </row>
    <row r="280" spans="1:20" x14ac:dyDescent="0.3">
      <c r="A280" s="8" t="s">
        <v>345</v>
      </c>
      <c r="B280" s="9">
        <v>2013</v>
      </c>
      <c r="C280" s="9" t="str">
        <f t="shared" si="4"/>
        <v>1905-07</v>
      </c>
      <c r="D280" s="10">
        <v>2013</v>
      </c>
      <c r="E280" s="8" t="s">
        <v>59</v>
      </c>
      <c r="F280" s="8" t="s">
        <v>60</v>
      </c>
      <c r="G280" s="8" t="s">
        <v>38</v>
      </c>
      <c r="H280" s="8" t="s">
        <v>27</v>
      </c>
      <c r="I280" s="10">
        <v>80.7</v>
      </c>
      <c r="J280" s="10">
        <v>228.6</v>
      </c>
      <c r="K280" s="10">
        <v>2832.76</v>
      </c>
      <c r="L280" s="8" t="s">
        <v>34</v>
      </c>
      <c r="M280" s="8" t="s">
        <v>29</v>
      </c>
      <c r="N280" s="10">
        <v>155.94999999999999</v>
      </c>
      <c r="O280" s="10">
        <v>576.48</v>
      </c>
      <c r="P280" s="8" t="s">
        <v>70</v>
      </c>
      <c r="Q280" s="10">
        <v>26.88</v>
      </c>
      <c r="R280" s="10">
        <f xml:space="preserve"> Table1_2[[#This Row],[Yield (Kg/Ha)]]/Table1_2[[#This Row],[Area (Hectares)]]</f>
        <v>35.102354399008675</v>
      </c>
      <c r="S280" s="10">
        <f>Table1_2[[#This Row],[Yield per Acre]]/Table1_2[[#This Row],[Yield (Kg/Ha)]]</f>
        <v>1.2391573729863692E-2</v>
      </c>
      <c r="T280" s="11">
        <f>Table1_2[[#This Row],[Yield per Acre]]/N280</f>
        <v>0.22508723564609603</v>
      </c>
    </row>
    <row r="281" spans="1:20" x14ac:dyDescent="0.3">
      <c r="A281" s="8" t="s">
        <v>346</v>
      </c>
      <c r="B281" s="9">
        <v>2018</v>
      </c>
      <c r="C281" s="9" t="str">
        <f t="shared" si="4"/>
        <v>1905-07</v>
      </c>
      <c r="D281" s="10">
        <v>2018</v>
      </c>
      <c r="E281" s="8" t="s">
        <v>31</v>
      </c>
      <c r="F281" s="8" t="s">
        <v>117</v>
      </c>
      <c r="G281" s="8" t="s">
        <v>19</v>
      </c>
      <c r="H281" s="8" t="s">
        <v>46</v>
      </c>
      <c r="I281" s="10">
        <v>58.86</v>
      </c>
      <c r="J281" s="10">
        <v>61.46</v>
      </c>
      <c r="K281" s="10">
        <v>1044.0899999999999</v>
      </c>
      <c r="L281" s="8" t="s">
        <v>34</v>
      </c>
      <c r="M281" s="8" t="s">
        <v>29</v>
      </c>
      <c r="N281" s="10">
        <v>190.36</v>
      </c>
      <c r="O281" s="10">
        <v>793.77</v>
      </c>
      <c r="P281" s="8" t="s">
        <v>70</v>
      </c>
      <c r="Q281" s="10">
        <v>24.48</v>
      </c>
      <c r="R281" s="10">
        <f xml:space="preserve"> Table1_2[[#This Row],[Yield (Kg/Ha)]]/Table1_2[[#This Row],[Area (Hectares)]]</f>
        <v>17.738532110091743</v>
      </c>
      <c r="S281" s="10">
        <f>Table1_2[[#This Row],[Yield per Acre]]/Table1_2[[#This Row],[Yield (Kg/Ha)]]</f>
        <v>1.6989466530750934E-2</v>
      </c>
      <c r="T281" s="11">
        <f>Table1_2[[#This Row],[Yield per Acre]]/N281</f>
        <v>9.3184135900881176E-2</v>
      </c>
    </row>
    <row r="282" spans="1:20" x14ac:dyDescent="0.3">
      <c r="A282" s="8" t="s">
        <v>347</v>
      </c>
      <c r="B282" s="9">
        <v>2014</v>
      </c>
      <c r="C282" s="9" t="str">
        <f t="shared" si="4"/>
        <v>1905-07</v>
      </c>
      <c r="D282" s="10">
        <v>2014</v>
      </c>
      <c r="E282" s="8" t="s">
        <v>25</v>
      </c>
      <c r="F282" s="8" t="s">
        <v>87</v>
      </c>
      <c r="G282" s="8" t="s">
        <v>19</v>
      </c>
      <c r="H282" s="8" t="s">
        <v>20</v>
      </c>
      <c r="I282" s="10">
        <v>86.29</v>
      </c>
      <c r="J282" s="10">
        <v>221.5</v>
      </c>
      <c r="K282" s="10">
        <v>2566.88</v>
      </c>
      <c r="L282" s="8" t="s">
        <v>34</v>
      </c>
      <c r="M282" s="8" t="s">
        <v>47</v>
      </c>
      <c r="N282" s="10">
        <v>97.09</v>
      </c>
      <c r="O282" s="10">
        <v>717.29</v>
      </c>
      <c r="P282" s="8" t="s">
        <v>42</v>
      </c>
      <c r="Q282" s="10">
        <v>33.5</v>
      </c>
      <c r="R282" s="10">
        <f xml:space="preserve"> Table1_2[[#This Row],[Yield (Kg/Ha)]]/Table1_2[[#This Row],[Area (Hectares)]]</f>
        <v>29.747131764978558</v>
      </c>
      <c r="S282" s="10">
        <f>Table1_2[[#This Row],[Yield per Acre]]/Table1_2[[#This Row],[Yield (Kg/Ha)]]</f>
        <v>1.1588828369451847E-2</v>
      </c>
      <c r="T282" s="11">
        <f>Table1_2[[#This Row],[Yield per Acre]]/N282</f>
        <v>0.30638718472529158</v>
      </c>
    </row>
    <row r="283" spans="1:20" x14ac:dyDescent="0.3">
      <c r="A283" s="8" t="s">
        <v>348</v>
      </c>
      <c r="B283" s="9">
        <v>2015</v>
      </c>
      <c r="C283" s="9" t="str">
        <f t="shared" si="4"/>
        <v>1905-07</v>
      </c>
      <c r="D283" s="10">
        <v>2015</v>
      </c>
      <c r="E283" s="8" t="s">
        <v>36</v>
      </c>
      <c r="F283" s="8" t="s">
        <v>77</v>
      </c>
      <c r="G283" s="8" t="s">
        <v>19</v>
      </c>
      <c r="H283" s="8" t="s">
        <v>56</v>
      </c>
      <c r="I283" s="10">
        <v>72.41</v>
      </c>
      <c r="J283" s="10">
        <v>357.16</v>
      </c>
      <c r="K283" s="10">
        <v>4932.3999999999996</v>
      </c>
      <c r="L283" s="8" t="s">
        <v>34</v>
      </c>
      <c r="M283" s="8" t="s">
        <v>47</v>
      </c>
      <c r="N283" s="10">
        <v>114.86</v>
      </c>
      <c r="O283" s="10">
        <v>618.57000000000005</v>
      </c>
      <c r="P283" s="8" t="s">
        <v>52</v>
      </c>
      <c r="Q283" s="10">
        <v>31.05</v>
      </c>
      <c r="R283" s="10">
        <f xml:space="preserve"> Table1_2[[#This Row],[Yield (Kg/Ha)]]/Table1_2[[#This Row],[Area (Hectares)]]</f>
        <v>68.117663306173185</v>
      </c>
      <c r="S283" s="10">
        <f>Table1_2[[#This Row],[Yield per Acre]]/Table1_2[[#This Row],[Yield (Kg/Ha)]]</f>
        <v>1.3810247203424943E-2</v>
      </c>
      <c r="T283" s="11">
        <f>Table1_2[[#This Row],[Yield per Acre]]/N283</f>
        <v>0.59304948029055538</v>
      </c>
    </row>
    <row r="284" spans="1:20" x14ac:dyDescent="0.3">
      <c r="A284" s="8" t="s">
        <v>349</v>
      </c>
      <c r="B284" s="9">
        <v>2015</v>
      </c>
      <c r="C284" s="9" t="str">
        <f t="shared" si="4"/>
        <v>1905-07</v>
      </c>
      <c r="D284" s="10">
        <v>2015</v>
      </c>
      <c r="E284" s="8" t="s">
        <v>44</v>
      </c>
      <c r="F284" s="8" t="s">
        <v>45</v>
      </c>
      <c r="G284" s="8" t="s">
        <v>19</v>
      </c>
      <c r="H284" s="8" t="s">
        <v>39</v>
      </c>
      <c r="I284" s="10">
        <v>23.01</v>
      </c>
      <c r="J284" s="10">
        <v>96.82</v>
      </c>
      <c r="K284" s="10">
        <v>4207.8100000000004</v>
      </c>
      <c r="L284" s="8" t="s">
        <v>28</v>
      </c>
      <c r="M284" s="8" t="s">
        <v>47</v>
      </c>
      <c r="N284" s="10">
        <v>276.63</v>
      </c>
      <c r="O284" s="10">
        <v>871.87</v>
      </c>
      <c r="P284" s="8" t="s">
        <v>61</v>
      </c>
      <c r="Q284" s="10">
        <v>24.5</v>
      </c>
      <c r="R284" s="10">
        <f xml:space="preserve"> Table1_2[[#This Row],[Yield (Kg/Ha)]]/Table1_2[[#This Row],[Area (Hectares)]]</f>
        <v>182.86875271621034</v>
      </c>
      <c r="S284" s="10">
        <f>Table1_2[[#This Row],[Yield per Acre]]/Table1_2[[#This Row],[Yield (Kg/Ha)]]</f>
        <v>4.3459365493263791E-2</v>
      </c>
      <c r="T284" s="11">
        <f>Table1_2[[#This Row],[Yield per Acre]]/N284</f>
        <v>0.66105900558945285</v>
      </c>
    </row>
    <row r="285" spans="1:20" x14ac:dyDescent="0.3">
      <c r="A285" s="8" t="s">
        <v>350</v>
      </c>
      <c r="B285" s="9">
        <v>2011</v>
      </c>
      <c r="C285" s="9" t="str">
        <f t="shared" si="4"/>
        <v>1905-07</v>
      </c>
      <c r="D285" s="10">
        <v>2011</v>
      </c>
      <c r="E285" s="8" t="s">
        <v>103</v>
      </c>
      <c r="F285" s="8" t="s">
        <v>107</v>
      </c>
      <c r="G285" s="8" t="s">
        <v>38</v>
      </c>
      <c r="H285" s="8" t="s">
        <v>56</v>
      </c>
      <c r="I285" s="10">
        <v>74.349999999999994</v>
      </c>
      <c r="J285" s="10">
        <v>397.86</v>
      </c>
      <c r="K285" s="10">
        <v>5351.12</v>
      </c>
      <c r="L285" s="8" t="s">
        <v>40</v>
      </c>
      <c r="M285" s="8" t="s">
        <v>49</v>
      </c>
      <c r="N285" s="10">
        <v>286.73</v>
      </c>
      <c r="O285" s="10">
        <v>1099.5899999999999</v>
      </c>
      <c r="P285" s="8" t="s">
        <v>23</v>
      </c>
      <c r="Q285" s="10">
        <v>23.33</v>
      </c>
      <c r="R285" s="10">
        <f xml:space="preserve"> Table1_2[[#This Row],[Yield (Kg/Ha)]]/Table1_2[[#This Row],[Area (Hectares)]]</f>
        <v>71.972024209818429</v>
      </c>
      <c r="S285" s="10">
        <f>Table1_2[[#This Row],[Yield per Acre]]/Table1_2[[#This Row],[Yield (Kg/Ha)]]</f>
        <v>1.3449899125756557E-2</v>
      </c>
      <c r="T285" s="11">
        <f>Table1_2[[#This Row],[Yield per Acre]]/N285</f>
        <v>0.2510097450905675</v>
      </c>
    </row>
    <row r="286" spans="1:20" x14ac:dyDescent="0.3">
      <c r="A286" s="8" t="s">
        <v>351</v>
      </c>
      <c r="B286" s="9">
        <v>2015</v>
      </c>
      <c r="C286" s="9" t="str">
        <f t="shared" si="4"/>
        <v>1905-07</v>
      </c>
      <c r="D286" s="10">
        <v>2015</v>
      </c>
      <c r="E286" s="8" t="s">
        <v>36</v>
      </c>
      <c r="F286" s="8" t="s">
        <v>51</v>
      </c>
      <c r="G286" s="8" t="s">
        <v>38</v>
      </c>
      <c r="H286" s="8" t="s">
        <v>27</v>
      </c>
      <c r="I286" s="10">
        <v>30.11</v>
      </c>
      <c r="J286" s="10">
        <v>183.89</v>
      </c>
      <c r="K286" s="10">
        <v>6107.28</v>
      </c>
      <c r="L286" s="8" t="s">
        <v>28</v>
      </c>
      <c r="M286" s="8" t="s">
        <v>29</v>
      </c>
      <c r="N286" s="10">
        <v>63.42</v>
      </c>
      <c r="O286" s="10">
        <v>834.4</v>
      </c>
      <c r="P286" s="8" t="s">
        <v>61</v>
      </c>
      <c r="Q286" s="10">
        <v>34.159999999999997</v>
      </c>
      <c r="R286" s="10">
        <f xml:space="preserve"> Table1_2[[#This Row],[Yield (Kg/Ha)]]/Table1_2[[#This Row],[Area (Hectares)]]</f>
        <v>202.83228163400864</v>
      </c>
      <c r="S286" s="10">
        <f>Table1_2[[#This Row],[Yield per Acre]]/Table1_2[[#This Row],[Yield (Kg/Ha)]]</f>
        <v>3.3211557622052475E-2</v>
      </c>
      <c r="T286" s="11">
        <f>Table1_2[[#This Row],[Yield per Acre]]/N286</f>
        <v>3.1982384363609055</v>
      </c>
    </row>
    <row r="287" spans="1:20" x14ac:dyDescent="0.3">
      <c r="A287" s="8" t="s">
        <v>352</v>
      </c>
      <c r="B287" s="9">
        <v>2011</v>
      </c>
      <c r="C287" s="9" t="str">
        <f t="shared" si="4"/>
        <v>1905-07</v>
      </c>
      <c r="D287" s="10">
        <v>2011</v>
      </c>
      <c r="E287" s="8" t="s">
        <v>103</v>
      </c>
      <c r="F287" s="8" t="s">
        <v>228</v>
      </c>
      <c r="G287" s="8" t="s">
        <v>19</v>
      </c>
      <c r="H287" s="8" t="s">
        <v>46</v>
      </c>
      <c r="I287" s="10">
        <v>53.45</v>
      </c>
      <c r="J287" s="10">
        <v>185.93</v>
      </c>
      <c r="K287" s="10">
        <v>3478.64</v>
      </c>
      <c r="L287" s="8" t="s">
        <v>40</v>
      </c>
      <c r="M287" s="8" t="s">
        <v>29</v>
      </c>
      <c r="N287" s="10">
        <v>84.34</v>
      </c>
      <c r="O287" s="10">
        <v>400.3</v>
      </c>
      <c r="P287" s="8" t="s">
        <v>52</v>
      </c>
      <c r="Q287" s="10">
        <v>34.81</v>
      </c>
      <c r="R287" s="10">
        <f xml:space="preserve"> Table1_2[[#This Row],[Yield (Kg/Ha)]]/Table1_2[[#This Row],[Area (Hectares)]]</f>
        <v>65.082132834424684</v>
      </c>
      <c r="S287" s="10">
        <f>Table1_2[[#This Row],[Yield per Acre]]/Table1_2[[#This Row],[Yield (Kg/Ha)]]</f>
        <v>1.8709073900841904E-2</v>
      </c>
      <c r="T287" s="11">
        <f>Table1_2[[#This Row],[Yield per Acre]]/N287</f>
        <v>0.77166389417150438</v>
      </c>
    </row>
    <row r="288" spans="1:20" x14ac:dyDescent="0.3">
      <c r="A288" s="8" t="s">
        <v>353</v>
      </c>
      <c r="B288" s="9">
        <v>2021</v>
      </c>
      <c r="C288" s="9" t="str">
        <f t="shared" si="4"/>
        <v>1905-07</v>
      </c>
      <c r="D288" s="10">
        <v>2021</v>
      </c>
      <c r="E288" s="8" t="s">
        <v>103</v>
      </c>
      <c r="F288" s="8" t="s">
        <v>107</v>
      </c>
      <c r="G288" s="8" t="s">
        <v>33</v>
      </c>
      <c r="H288" s="8" t="s">
        <v>64</v>
      </c>
      <c r="I288" s="10">
        <v>49.27</v>
      </c>
      <c r="J288" s="10">
        <v>235.82</v>
      </c>
      <c r="K288" s="10">
        <v>4786.2</v>
      </c>
      <c r="L288" s="8" t="s">
        <v>40</v>
      </c>
      <c r="M288" s="8" t="s">
        <v>47</v>
      </c>
      <c r="N288" s="10">
        <v>128.35</v>
      </c>
      <c r="O288" s="10">
        <v>258.01</v>
      </c>
      <c r="P288" s="8" t="s">
        <v>52</v>
      </c>
      <c r="Q288" s="10">
        <v>24.1</v>
      </c>
      <c r="R288" s="10">
        <f xml:space="preserve"> Table1_2[[#This Row],[Yield (Kg/Ha)]]/Table1_2[[#This Row],[Area (Hectares)]]</f>
        <v>97.142277247818129</v>
      </c>
      <c r="S288" s="10">
        <f>Table1_2[[#This Row],[Yield per Acre]]/Table1_2[[#This Row],[Yield (Kg/Ha)]]</f>
        <v>2.0296326364927945E-2</v>
      </c>
      <c r="T288" s="11">
        <f>Table1_2[[#This Row],[Yield per Acre]]/N288</f>
        <v>0.75685451692885186</v>
      </c>
    </row>
    <row r="289" spans="1:20" x14ac:dyDescent="0.3">
      <c r="A289" s="8" t="s">
        <v>354</v>
      </c>
      <c r="B289" s="9">
        <v>2017</v>
      </c>
      <c r="C289" s="9" t="str">
        <f t="shared" si="4"/>
        <v>1905-07</v>
      </c>
      <c r="D289" s="10">
        <v>2017</v>
      </c>
      <c r="E289" s="8" t="s">
        <v>44</v>
      </c>
      <c r="F289" s="8" t="s">
        <v>45</v>
      </c>
      <c r="G289" s="8" t="s">
        <v>33</v>
      </c>
      <c r="H289" s="8" t="s">
        <v>56</v>
      </c>
      <c r="I289" s="10">
        <v>61.83</v>
      </c>
      <c r="J289" s="10">
        <v>296.83999999999997</v>
      </c>
      <c r="K289" s="10">
        <v>4800.93</v>
      </c>
      <c r="L289" s="8" t="s">
        <v>28</v>
      </c>
      <c r="M289" s="8" t="s">
        <v>49</v>
      </c>
      <c r="N289" s="10">
        <v>157.26</v>
      </c>
      <c r="O289" s="10">
        <v>677.4</v>
      </c>
      <c r="P289" s="8" t="s">
        <v>23</v>
      </c>
      <c r="Q289" s="10">
        <v>20.57</v>
      </c>
      <c r="R289" s="10">
        <f xml:space="preserve"> Table1_2[[#This Row],[Yield (Kg/Ha)]]/Table1_2[[#This Row],[Area (Hectares)]]</f>
        <v>77.647258612324123</v>
      </c>
      <c r="S289" s="10">
        <f>Table1_2[[#This Row],[Yield per Acre]]/Table1_2[[#This Row],[Yield (Kg/Ha)]]</f>
        <v>1.6173378618793467E-2</v>
      </c>
      <c r="T289" s="11">
        <f>Table1_2[[#This Row],[Yield per Acre]]/N289</f>
        <v>0.4937508496268862</v>
      </c>
    </row>
    <row r="290" spans="1:20" x14ac:dyDescent="0.3">
      <c r="A290" s="8" t="s">
        <v>355</v>
      </c>
      <c r="B290" s="9">
        <v>2022</v>
      </c>
      <c r="C290" s="9" t="str">
        <f t="shared" si="4"/>
        <v>1905-07</v>
      </c>
      <c r="D290" s="10">
        <v>2022</v>
      </c>
      <c r="E290" s="8" t="s">
        <v>25</v>
      </c>
      <c r="F290" s="8" t="s">
        <v>87</v>
      </c>
      <c r="G290" s="8" t="s">
        <v>19</v>
      </c>
      <c r="H290" s="8" t="s">
        <v>56</v>
      </c>
      <c r="I290" s="10">
        <v>2.77</v>
      </c>
      <c r="J290" s="10">
        <v>2.84</v>
      </c>
      <c r="K290" s="10">
        <v>1024.74</v>
      </c>
      <c r="L290" s="8" t="s">
        <v>40</v>
      </c>
      <c r="M290" s="8" t="s">
        <v>47</v>
      </c>
      <c r="N290" s="10">
        <v>106.57</v>
      </c>
      <c r="O290" s="10">
        <v>1076.99</v>
      </c>
      <c r="P290" s="8" t="s">
        <v>70</v>
      </c>
      <c r="Q290" s="10">
        <v>21.93</v>
      </c>
      <c r="R290" s="10">
        <f xml:space="preserve"> Table1_2[[#This Row],[Yield (Kg/Ha)]]/Table1_2[[#This Row],[Area (Hectares)]]</f>
        <v>369.94223826714801</v>
      </c>
      <c r="S290" s="10">
        <f>Table1_2[[#This Row],[Yield per Acre]]/Table1_2[[#This Row],[Yield (Kg/Ha)]]</f>
        <v>0.36101083032490977</v>
      </c>
      <c r="T290" s="11">
        <f>Table1_2[[#This Row],[Yield per Acre]]/N290</f>
        <v>3.4713543986783151</v>
      </c>
    </row>
    <row r="291" spans="1:20" x14ac:dyDescent="0.3">
      <c r="A291" s="8" t="s">
        <v>356</v>
      </c>
      <c r="B291" s="9">
        <v>2012</v>
      </c>
      <c r="C291" s="9" t="str">
        <f t="shared" si="4"/>
        <v>1905-07</v>
      </c>
      <c r="D291" s="10">
        <v>2012</v>
      </c>
      <c r="E291" s="8" t="s">
        <v>59</v>
      </c>
      <c r="F291" s="8" t="s">
        <v>63</v>
      </c>
      <c r="G291" s="8" t="s">
        <v>33</v>
      </c>
      <c r="H291" s="8" t="s">
        <v>64</v>
      </c>
      <c r="I291" s="10">
        <v>30.52</v>
      </c>
      <c r="J291" s="10">
        <v>83.78</v>
      </c>
      <c r="K291" s="10">
        <v>2744.97</v>
      </c>
      <c r="L291" s="8" t="s">
        <v>34</v>
      </c>
      <c r="M291" s="8" t="s">
        <v>49</v>
      </c>
      <c r="N291" s="10">
        <v>158.41999999999999</v>
      </c>
      <c r="O291" s="10">
        <v>886.78</v>
      </c>
      <c r="P291" s="8" t="s">
        <v>42</v>
      </c>
      <c r="Q291" s="10">
        <v>25.14</v>
      </c>
      <c r="R291" s="10">
        <f xml:space="preserve"> Table1_2[[#This Row],[Yield (Kg/Ha)]]/Table1_2[[#This Row],[Area (Hectares)]]</f>
        <v>89.940039318479677</v>
      </c>
      <c r="S291" s="10">
        <f>Table1_2[[#This Row],[Yield per Acre]]/Table1_2[[#This Row],[Yield (Kg/Ha)]]</f>
        <v>3.2765399737876802E-2</v>
      </c>
      <c r="T291" s="11">
        <f>Table1_2[[#This Row],[Yield per Acre]]/N291</f>
        <v>0.5677315952435279</v>
      </c>
    </row>
    <row r="292" spans="1:20" x14ac:dyDescent="0.3">
      <c r="A292" s="8" t="s">
        <v>357</v>
      </c>
      <c r="B292" s="9">
        <v>2013</v>
      </c>
      <c r="C292" s="9" t="str">
        <f t="shared" si="4"/>
        <v>1905-07</v>
      </c>
      <c r="D292" s="10">
        <v>2012</v>
      </c>
      <c r="E292" s="8" t="s">
        <v>44</v>
      </c>
      <c r="F292" s="8" t="s">
        <v>45</v>
      </c>
      <c r="G292" s="8" t="s">
        <v>38</v>
      </c>
      <c r="H292" s="8" t="s">
        <v>64</v>
      </c>
      <c r="I292" s="10">
        <v>23.61</v>
      </c>
      <c r="J292" s="10">
        <v>126.62</v>
      </c>
      <c r="K292" s="10">
        <v>5363.01</v>
      </c>
      <c r="L292" s="8" t="s">
        <v>40</v>
      </c>
      <c r="M292" s="8" t="s">
        <v>22</v>
      </c>
      <c r="N292" s="10">
        <v>102.8</v>
      </c>
      <c r="O292" s="10">
        <v>221.91</v>
      </c>
      <c r="P292" s="8" t="s">
        <v>61</v>
      </c>
      <c r="Q292" s="10">
        <v>22.53</v>
      </c>
      <c r="R292" s="10">
        <f xml:space="preserve"> Table1_2[[#This Row],[Yield (Kg/Ha)]]/Table1_2[[#This Row],[Area (Hectares)]]</f>
        <v>227.14993646759848</v>
      </c>
      <c r="S292" s="10">
        <f>Table1_2[[#This Row],[Yield per Acre]]/Table1_2[[#This Row],[Yield (Kg/Ha)]]</f>
        <v>4.2354934349851756E-2</v>
      </c>
      <c r="T292" s="11">
        <f>Table1_2[[#This Row],[Yield per Acre]]/N292</f>
        <v>2.2096297321750824</v>
      </c>
    </row>
    <row r="293" spans="1:20" x14ac:dyDescent="0.3">
      <c r="A293" s="8" t="s">
        <v>358</v>
      </c>
      <c r="B293" s="9">
        <v>2014</v>
      </c>
      <c r="C293" s="9" t="str">
        <f t="shared" si="4"/>
        <v>1905-07</v>
      </c>
      <c r="D293" s="10">
        <v>2014</v>
      </c>
      <c r="E293" s="8" t="s">
        <v>36</v>
      </c>
      <c r="F293" s="8" t="s">
        <v>77</v>
      </c>
      <c r="G293" s="8" t="s">
        <v>19</v>
      </c>
      <c r="H293" s="8" t="s">
        <v>27</v>
      </c>
      <c r="I293" s="10">
        <v>5.81</v>
      </c>
      <c r="J293" s="10">
        <v>40.479999999999997</v>
      </c>
      <c r="K293" s="10">
        <v>6968.08</v>
      </c>
      <c r="L293" s="8" t="s">
        <v>21</v>
      </c>
      <c r="M293" s="8" t="s">
        <v>22</v>
      </c>
      <c r="N293" s="10">
        <v>213.39</v>
      </c>
      <c r="O293" s="10">
        <v>219.74</v>
      </c>
      <c r="P293" s="8" t="s">
        <v>23</v>
      </c>
      <c r="Q293" s="10">
        <v>26.25</v>
      </c>
      <c r="R293" s="10">
        <f xml:space="preserve"> Table1_2[[#This Row],[Yield (Kg/Ha)]]/Table1_2[[#This Row],[Area (Hectares)]]</f>
        <v>1199.3253012048194</v>
      </c>
      <c r="S293" s="10">
        <f>Table1_2[[#This Row],[Yield per Acre]]/Table1_2[[#This Row],[Yield (Kg/Ha)]]</f>
        <v>0.17211703958691912</v>
      </c>
      <c r="T293" s="11">
        <f>Table1_2[[#This Row],[Yield per Acre]]/N293</f>
        <v>5.6203444454042808</v>
      </c>
    </row>
    <row r="294" spans="1:20" x14ac:dyDescent="0.3">
      <c r="A294" s="8" t="s">
        <v>359</v>
      </c>
      <c r="B294" s="9">
        <v>2017</v>
      </c>
      <c r="C294" s="9" t="str">
        <f t="shared" si="4"/>
        <v>1905-07</v>
      </c>
      <c r="D294" s="10">
        <v>2017</v>
      </c>
      <c r="E294" s="8" t="s">
        <v>59</v>
      </c>
      <c r="F294" s="8" t="s">
        <v>63</v>
      </c>
      <c r="G294" s="8" t="s">
        <v>19</v>
      </c>
      <c r="H294" s="8" t="s">
        <v>56</v>
      </c>
      <c r="I294" s="10">
        <v>21.34</v>
      </c>
      <c r="J294" s="10">
        <v>109.14</v>
      </c>
      <c r="K294" s="10">
        <v>5114.4399999999996</v>
      </c>
      <c r="L294" s="8" t="s">
        <v>21</v>
      </c>
      <c r="M294" s="8" t="s">
        <v>41</v>
      </c>
      <c r="N294" s="10">
        <v>125.28</v>
      </c>
      <c r="O294" s="10">
        <v>861.66</v>
      </c>
      <c r="P294" s="8" t="s">
        <v>61</v>
      </c>
      <c r="Q294" s="10">
        <v>24.05</v>
      </c>
      <c r="R294" s="10">
        <f xml:space="preserve"> Table1_2[[#This Row],[Yield (Kg/Ha)]]/Table1_2[[#This Row],[Area (Hectares)]]</f>
        <v>239.66447985004683</v>
      </c>
      <c r="S294" s="10">
        <f>Table1_2[[#This Row],[Yield per Acre]]/Table1_2[[#This Row],[Yield (Kg/Ha)]]</f>
        <v>4.6860356138706649E-2</v>
      </c>
      <c r="T294" s="11">
        <f>Table1_2[[#This Row],[Yield per Acre]]/N294</f>
        <v>1.9130306501440519</v>
      </c>
    </row>
    <row r="295" spans="1:20" x14ac:dyDescent="0.3">
      <c r="A295" s="8" t="s">
        <v>360</v>
      </c>
      <c r="B295" s="9">
        <v>2018</v>
      </c>
      <c r="C295" s="9" t="str">
        <f t="shared" si="4"/>
        <v>1905-07</v>
      </c>
      <c r="D295" s="10">
        <v>2018</v>
      </c>
      <c r="E295" s="8" t="s">
        <v>36</v>
      </c>
      <c r="F295" s="8" t="s">
        <v>37</v>
      </c>
      <c r="G295" s="8" t="s">
        <v>19</v>
      </c>
      <c r="H295" s="8" t="s">
        <v>27</v>
      </c>
      <c r="I295" s="10">
        <v>12.66</v>
      </c>
      <c r="J295" s="10">
        <v>21.32</v>
      </c>
      <c r="K295" s="10">
        <v>1684.08</v>
      </c>
      <c r="L295" s="8" t="s">
        <v>21</v>
      </c>
      <c r="M295" s="8" t="s">
        <v>49</v>
      </c>
      <c r="N295" s="10">
        <v>174.43</v>
      </c>
      <c r="O295" s="10">
        <v>809</v>
      </c>
      <c r="P295" s="8" t="s">
        <v>70</v>
      </c>
      <c r="Q295" s="10">
        <v>32.47</v>
      </c>
      <c r="R295" s="10">
        <f xml:space="preserve"> Table1_2[[#This Row],[Yield (Kg/Ha)]]/Table1_2[[#This Row],[Area (Hectares)]]</f>
        <v>133.02369668246445</v>
      </c>
      <c r="S295" s="10">
        <f>Table1_2[[#This Row],[Yield per Acre]]/Table1_2[[#This Row],[Yield (Kg/Ha)]]</f>
        <v>7.8988941548183256E-2</v>
      </c>
      <c r="T295" s="11">
        <f>Table1_2[[#This Row],[Yield per Acre]]/N295</f>
        <v>0.76261936984729939</v>
      </c>
    </row>
    <row r="296" spans="1:20" x14ac:dyDescent="0.3">
      <c r="A296" s="8" t="s">
        <v>361</v>
      </c>
      <c r="B296" s="9">
        <v>2014</v>
      </c>
      <c r="C296" s="9" t="str">
        <f t="shared" si="4"/>
        <v>1905-07</v>
      </c>
      <c r="D296" s="10">
        <v>2014</v>
      </c>
      <c r="E296" s="8" t="s">
        <v>17</v>
      </c>
      <c r="F296" s="8" t="s">
        <v>72</v>
      </c>
      <c r="G296" s="8" t="s">
        <v>33</v>
      </c>
      <c r="H296" s="8" t="s">
        <v>64</v>
      </c>
      <c r="I296" s="10">
        <v>55.27</v>
      </c>
      <c r="J296" s="10">
        <v>357.16</v>
      </c>
      <c r="K296" s="10">
        <v>6462.14</v>
      </c>
      <c r="L296" s="8" t="s">
        <v>28</v>
      </c>
      <c r="M296" s="8" t="s">
        <v>29</v>
      </c>
      <c r="N296" s="10">
        <v>132.65</v>
      </c>
      <c r="O296" s="10">
        <v>202.74</v>
      </c>
      <c r="P296" s="8" t="s">
        <v>23</v>
      </c>
      <c r="Q296" s="10">
        <v>33.6</v>
      </c>
      <c r="R296" s="10">
        <f xml:space="preserve"> Table1_2[[#This Row],[Yield (Kg/Ha)]]/Table1_2[[#This Row],[Area (Hectares)]]</f>
        <v>116.91948615885653</v>
      </c>
      <c r="S296" s="10">
        <f>Table1_2[[#This Row],[Yield per Acre]]/Table1_2[[#This Row],[Yield (Kg/Ha)]]</f>
        <v>1.8092998009770218E-2</v>
      </c>
      <c r="T296" s="11">
        <f>Table1_2[[#This Row],[Yield per Acre]]/N296</f>
        <v>0.88141338981422179</v>
      </c>
    </row>
    <row r="297" spans="1:20" x14ac:dyDescent="0.3">
      <c r="A297" s="8" t="s">
        <v>362</v>
      </c>
      <c r="B297" s="9">
        <v>2022</v>
      </c>
      <c r="C297" s="9" t="str">
        <f t="shared" si="4"/>
        <v>1905-07</v>
      </c>
      <c r="D297" s="10">
        <v>2022</v>
      </c>
      <c r="E297" s="8" t="s">
        <v>103</v>
      </c>
      <c r="F297" s="8" t="s">
        <v>104</v>
      </c>
      <c r="G297" s="8" t="s">
        <v>19</v>
      </c>
      <c r="H297" s="8" t="s">
        <v>64</v>
      </c>
      <c r="I297" s="10">
        <v>72.63</v>
      </c>
      <c r="J297" s="10">
        <v>116.77</v>
      </c>
      <c r="K297" s="10">
        <v>1607.74</v>
      </c>
      <c r="L297" s="8" t="s">
        <v>34</v>
      </c>
      <c r="M297" s="8" t="s">
        <v>22</v>
      </c>
      <c r="N297" s="10">
        <v>211.08</v>
      </c>
      <c r="O297" s="10">
        <v>656.75</v>
      </c>
      <c r="P297" s="8" t="s">
        <v>70</v>
      </c>
      <c r="Q297" s="10">
        <v>23.96</v>
      </c>
      <c r="R297" s="10">
        <f xml:space="preserve"> Table1_2[[#This Row],[Yield (Kg/Ha)]]/Table1_2[[#This Row],[Area (Hectares)]]</f>
        <v>22.136031942723395</v>
      </c>
      <c r="S297" s="10">
        <f>Table1_2[[#This Row],[Yield per Acre]]/Table1_2[[#This Row],[Yield (Kg/Ha)]]</f>
        <v>1.3768415255404105E-2</v>
      </c>
      <c r="T297" s="11">
        <f>Table1_2[[#This Row],[Yield per Acre]]/N297</f>
        <v>0.10487034272656526</v>
      </c>
    </row>
    <row r="298" spans="1:20" x14ac:dyDescent="0.3">
      <c r="A298" s="8" t="s">
        <v>363</v>
      </c>
      <c r="B298" s="9">
        <v>2010</v>
      </c>
      <c r="C298" s="9" t="str">
        <f t="shared" si="4"/>
        <v>1905-07</v>
      </c>
      <c r="D298" s="10">
        <v>2010</v>
      </c>
      <c r="E298" s="8" t="s">
        <v>44</v>
      </c>
      <c r="F298" s="8" t="s">
        <v>45</v>
      </c>
      <c r="G298" s="8" t="s">
        <v>38</v>
      </c>
      <c r="H298" s="8" t="s">
        <v>20</v>
      </c>
      <c r="I298" s="10">
        <v>80.36</v>
      </c>
      <c r="J298" s="10">
        <v>231.13</v>
      </c>
      <c r="K298" s="10">
        <v>2876.24</v>
      </c>
      <c r="L298" s="8" t="s">
        <v>21</v>
      </c>
      <c r="M298" s="8" t="s">
        <v>41</v>
      </c>
      <c r="N298" s="10">
        <v>73.75</v>
      </c>
      <c r="O298" s="10">
        <v>958.2</v>
      </c>
      <c r="P298" s="8" t="s">
        <v>23</v>
      </c>
      <c r="Q298" s="10">
        <v>20.149999999999999</v>
      </c>
      <c r="R298" s="10">
        <f xml:space="preserve"> Table1_2[[#This Row],[Yield (Kg/Ha)]]/Table1_2[[#This Row],[Area (Hectares)]]</f>
        <v>35.791936286709806</v>
      </c>
      <c r="S298" s="10">
        <f>Table1_2[[#This Row],[Yield per Acre]]/Table1_2[[#This Row],[Yield (Kg/Ha)]]</f>
        <v>1.2444001991040319E-2</v>
      </c>
      <c r="T298" s="11">
        <f>Table1_2[[#This Row],[Yield per Acre]]/N298</f>
        <v>0.48531439032826856</v>
      </c>
    </row>
    <row r="299" spans="1:20" x14ac:dyDescent="0.3">
      <c r="A299" s="8" t="s">
        <v>364</v>
      </c>
      <c r="B299" s="9">
        <v>2017</v>
      </c>
      <c r="C299" s="9" t="str">
        <f t="shared" si="4"/>
        <v>1905-07</v>
      </c>
      <c r="D299" s="10">
        <v>2017</v>
      </c>
      <c r="E299" s="8" t="s">
        <v>31</v>
      </c>
      <c r="F299" s="8" t="s">
        <v>32</v>
      </c>
      <c r="G299" s="8" t="s">
        <v>19</v>
      </c>
      <c r="H299" s="8" t="s">
        <v>20</v>
      </c>
      <c r="I299" s="10">
        <v>87.97</v>
      </c>
      <c r="J299" s="10">
        <v>137.03</v>
      </c>
      <c r="K299" s="10">
        <v>1557.71</v>
      </c>
      <c r="L299" s="8" t="s">
        <v>34</v>
      </c>
      <c r="M299" s="8" t="s">
        <v>29</v>
      </c>
      <c r="N299" s="10">
        <v>95.72</v>
      </c>
      <c r="O299" s="10">
        <v>600.78</v>
      </c>
      <c r="P299" s="8" t="s">
        <v>52</v>
      </c>
      <c r="Q299" s="10">
        <v>24.08</v>
      </c>
      <c r="R299" s="10">
        <f xml:space="preserve"> Table1_2[[#This Row],[Yield (Kg/Ha)]]/Table1_2[[#This Row],[Area (Hectares)]]</f>
        <v>17.707286574968741</v>
      </c>
      <c r="S299" s="10">
        <f>Table1_2[[#This Row],[Yield per Acre]]/Table1_2[[#This Row],[Yield (Kg/Ha)]]</f>
        <v>1.1367511651699443E-2</v>
      </c>
      <c r="T299" s="11">
        <f>Table1_2[[#This Row],[Yield per Acre]]/N299</f>
        <v>0.18499045732311681</v>
      </c>
    </row>
    <row r="300" spans="1:20" x14ac:dyDescent="0.3">
      <c r="A300" s="8" t="s">
        <v>365</v>
      </c>
      <c r="B300" s="9">
        <v>2020</v>
      </c>
      <c r="C300" s="9" t="str">
        <f t="shared" si="4"/>
        <v>1905-07</v>
      </c>
      <c r="D300" s="10">
        <v>2020</v>
      </c>
      <c r="E300" s="8" t="s">
        <v>44</v>
      </c>
      <c r="F300" s="8" t="s">
        <v>99</v>
      </c>
      <c r="G300" s="8" t="s">
        <v>33</v>
      </c>
      <c r="H300" s="8" t="s">
        <v>64</v>
      </c>
      <c r="I300" s="10">
        <v>14.12</v>
      </c>
      <c r="J300" s="10">
        <v>75.66</v>
      </c>
      <c r="K300" s="10">
        <v>5358.47</v>
      </c>
      <c r="L300" s="8" t="s">
        <v>40</v>
      </c>
      <c r="M300" s="8" t="s">
        <v>41</v>
      </c>
      <c r="N300" s="10">
        <v>75.930000000000007</v>
      </c>
      <c r="O300" s="10">
        <v>1111.23</v>
      </c>
      <c r="P300" s="8" t="s">
        <v>52</v>
      </c>
      <c r="Q300" s="10">
        <v>32.03</v>
      </c>
      <c r="R300" s="10">
        <f xml:space="preserve"> Table1_2[[#This Row],[Yield (Kg/Ha)]]/Table1_2[[#This Row],[Area (Hectares)]]</f>
        <v>379.49504249291789</v>
      </c>
      <c r="S300" s="10">
        <f>Table1_2[[#This Row],[Yield per Acre]]/Table1_2[[#This Row],[Yield (Kg/Ha)]]</f>
        <v>7.0821529745042494E-2</v>
      </c>
      <c r="T300" s="11">
        <f>Table1_2[[#This Row],[Yield per Acre]]/N300</f>
        <v>4.9979592057542188</v>
      </c>
    </row>
    <row r="301" spans="1:20" x14ac:dyDescent="0.3">
      <c r="A301" s="8" t="s">
        <v>366</v>
      </c>
      <c r="B301" s="9">
        <v>2022</v>
      </c>
      <c r="C301" s="9" t="str">
        <f t="shared" si="4"/>
        <v>1905-07</v>
      </c>
      <c r="D301" s="10">
        <v>2022</v>
      </c>
      <c r="E301" s="8" t="s">
        <v>59</v>
      </c>
      <c r="F301" s="8" t="s">
        <v>63</v>
      </c>
      <c r="G301" s="8" t="s">
        <v>38</v>
      </c>
      <c r="H301" s="8" t="s">
        <v>27</v>
      </c>
      <c r="I301" s="10">
        <v>3.85</v>
      </c>
      <c r="J301" s="10">
        <v>19.66</v>
      </c>
      <c r="K301" s="10">
        <v>5106.78</v>
      </c>
      <c r="L301" s="8" t="s">
        <v>40</v>
      </c>
      <c r="M301" s="8" t="s">
        <v>49</v>
      </c>
      <c r="N301" s="10">
        <v>170.77</v>
      </c>
      <c r="O301" s="10">
        <v>688.12</v>
      </c>
      <c r="P301" s="8" t="s">
        <v>52</v>
      </c>
      <c r="Q301" s="10">
        <v>26.61</v>
      </c>
      <c r="R301" s="10">
        <f xml:space="preserve"> Table1_2[[#This Row],[Yield (Kg/Ha)]]/Table1_2[[#This Row],[Area (Hectares)]]</f>
        <v>1326.4363636363635</v>
      </c>
      <c r="S301" s="10">
        <f>Table1_2[[#This Row],[Yield per Acre]]/Table1_2[[#This Row],[Yield (Kg/Ha)]]</f>
        <v>0.25974025974025972</v>
      </c>
      <c r="T301" s="11">
        <f>Table1_2[[#This Row],[Yield per Acre]]/N301</f>
        <v>7.7673851591987084</v>
      </c>
    </row>
    <row r="302" spans="1:20" x14ac:dyDescent="0.3">
      <c r="A302" s="8" t="s">
        <v>367</v>
      </c>
      <c r="B302" s="9">
        <v>2010</v>
      </c>
      <c r="C302" s="9" t="str">
        <f t="shared" si="4"/>
        <v>1905-07</v>
      </c>
      <c r="D302" s="10">
        <v>2010</v>
      </c>
      <c r="E302" s="8" t="s">
        <v>17</v>
      </c>
      <c r="F302" s="8" t="s">
        <v>72</v>
      </c>
      <c r="G302" s="8" t="s">
        <v>19</v>
      </c>
      <c r="H302" s="8" t="s">
        <v>39</v>
      </c>
      <c r="I302" s="10">
        <v>52.96</v>
      </c>
      <c r="J302" s="10">
        <v>289.25</v>
      </c>
      <c r="K302" s="10">
        <v>5461.74</v>
      </c>
      <c r="L302" s="8" t="s">
        <v>40</v>
      </c>
      <c r="M302" s="8" t="s">
        <v>47</v>
      </c>
      <c r="N302" s="10">
        <v>294.47000000000003</v>
      </c>
      <c r="O302" s="10">
        <v>869.84</v>
      </c>
      <c r="P302" s="8" t="s">
        <v>70</v>
      </c>
      <c r="Q302" s="10">
        <v>27.79</v>
      </c>
      <c r="R302" s="10">
        <f xml:space="preserve"> Table1_2[[#This Row],[Yield (Kg/Ha)]]/Table1_2[[#This Row],[Area (Hectares)]]</f>
        <v>103.12953172205438</v>
      </c>
      <c r="S302" s="10">
        <f>Table1_2[[#This Row],[Yield per Acre]]/Table1_2[[#This Row],[Yield (Kg/Ha)]]</f>
        <v>1.8882175226586105E-2</v>
      </c>
      <c r="T302" s="11">
        <f>Table1_2[[#This Row],[Yield per Acre]]/N302</f>
        <v>0.35022084328472974</v>
      </c>
    </row>
    <row r="303" spans="1:20" x14ac:dyDescent="0.3">
      <c r="A303" s="8" t="s">
        <v>368</v>
      </c>
      <c r="B303" s="9">
        <v>2020</v>
      </c>
      <c r="C303" s="9" t="str">
        <f t="shared" si="4"/>
        <v>1905-07</v>
      </c>
      <c r="D303" s="10">
        <v>2020</v>
      </c>
      <c r="E303" s="8" t="s">
        <v>25</v>
      </c>
      <c r="F303" s="8" t="s">
        <v>87</v>
      </c>
      <c r="G303" s="8" t="s">
        <v>19</v>
      </c>
      <c r="H303" s="8" t="s">
        <v>56</v>
      </c>
      <c r="I303" s="10">
        <v>48.71</v>
      </c>
      <c r="J303" s="10">
        <v>242.69</v>
      </c>
      <c r="K303" s="10">
        <v>4982.26</v>
      </c>
      <c r="L303" s="8" t="s">
        <v>28</v>
      </c>
      <c r="M303" s="8" t="s">
        <v>41</v>
      </c>
      <c r="N303" s="10">
        <v>87.16</v>
      </c>
      <c r="O303" s="10">
        <v>1026.44</v>
      </c>
      <c r="P303" s="8" t="s">
        <v>61</v>
      </c>
      <c r="Q303" s="10">
        <v>20.82</v>
      </c>
      <c r="R303" s="10">
        <f xml:space="preserve"> Table1_2[[#This Row],[Yield (Kg/Ha)]]/Table1_2[[#This Row],[Area (Hectares)]]</f>
        <v>102.28413056867173</v>
      </c>
      <c r="S303" s="10">
        <f>Table1_2[[#This Row],[Yield per Acre]]/Table1_2[[#This Row],[Yield (Kg/Ha)]]</f>
        <v>2.0529665366454525E-2</v>
      </c>
      <c r="T303" s="11">
        <f>Table1_2[[#This Row],[Yield per Acre]]/N303</f>
        <v>1.1735214613202356</v>
      </c>
    </row>
    <row r="304" spans="1:20" x14ac:dyDescent="0.3">
      <c r="A304" s="8" t="s">
        <v>369</v>
      </c>
      <c r="B304" s="9">
        <v>2017</v>
      </c>
      <c r="C304" s="9" t="str">
        <f t="shared" si="4"/>
        <v>1905-07</v>
      </c>
      <c r="D304" s="10">
        <v>2017</v>
      </c>
      <c r="E304" s="8" t="s">
        <v>59</v>
      </c>
      <c r="F304" s="8" t="s">
        <v>63</v>
      </c>
      <c r="G304" s="8" t="s">
        <v>33</v>
      </c>
      <c r="H304" s="8" t="s">
        <v>64</v>
      </c>
      <c r="I304" s="10">
        <v>75.39</v>
      </c>
      <c r="J304" s="10">
        <v>220.43</v>
      </c>
      <c r="K304" s="10">
        <v>2923.8</v>
      </c>
      <c r="L304" s="8" t="s">
        <v>34</v>
      </c>
      <c r="M304" s="8" t="s">
        <v>29</v>
      </c>
      <c r="N304" s="10">
        <v>292.54000000000002</v>
      </c>
      <c r="O304" s="10">
        <v>250.35</v>
      </c>
      <c r="P304" s="8" t="s">
        <v>42</v>
      </c>
      <c r="Q304" s="10">
        <v>28.26</v>
      </c>
      <c r="R304" s="10">
        <f xml:space="preserve"> Table1_2[[#This Row],[Yield (Kg/Ha)]]/Table1_2[[#This Row],[Area (Hectares)]]</f>
        <v>38.782331874253885</v>
      </c>
      <c r="S304" s="10">
        <f>Table1_2[[#This Row],[Yield per Acre]]/Table1_2[[#This Row],[Yield (Kg/Ha)]]</f>
        <v>1.326435866825839E-2</v>
      </c>
      <c r="T304" s="11">
        <f>Table1_2[[#This Row],[Yield per Acre]]/N304</f>
        <v>0.13257103942795476</v>
      </c>
    </row>
    <row r="305" spans="1:20" x14ac:dyDescent="0.3">
      <c r="A305" s="8" t="s">
        <v>370</v>
      </c>
      <c r="B305" s="9">
        <v>2011</v>
      </c>
      <c r="C305" s="9" t="str">
        <f t="shared" si="4"/>
        <v>1905-07</v>
      </c>
      <c r="D305" s="10">
        <v>2011</v>
      </c>
      <c r="E305" s="8" t="s">
        <v>44</v>
      </c>
      <c r="F305" s="8" t="s">
        <v>45</v>
      </c>
      <c r="G305" s="8" t="s">
        <v>38</v>
      </c>
      <c r="H305" s="8" t="s">
        <v>46</v>
      </c>
      <c r="I305" s="10">
        <v>80.319999999999993</v>
      </c>
      <c r="J305" s="10">
        <v>296.27</v>
      </c>
      <c r="K305" s="10">
        <v>3688.59</v>
      </c>
      <c r="L305" s="8" t="s">
        <v>28</v>
      </c>
      <c r="M305" s="8" t="s">
        <v>22</v>
      </c>
      <c r="N305" s="10">
        <v>161.77000000000001</v>
      </c>
      <c r="O305" s="10">
        <v>318.70999999999998</v>
      </c>
      <c r="P305" s="8" t="s">
        <v>52</v>
      </c>
      <c r="Q305" s="10">
        <v>31.18</v>
      </c>
      <c r="R305" s="10">
        <f xml:space="preserve"> Table1_2[[#This Row],[Yield (Kg/Ha)]]/Table1_2[[#This Row],[Area (Hectares)]]</f>
        <v>45.923680278884468</v>
      </c>
      <c r="S305" s="10">
        <f>Table1_2[[#This Row],[Yield per Acre]]/Table1_2[[#This Row],[Yield (Kg/Ha)]]</f>
        <v>1.2450199203187252E-2</v>
      </c>
      <c r="T305" s="11">
        <f>Table1_2[[#This Row],[Yield per Acre]]/N305</f>
        <v>0.28388255102234322</v>
      </c>
    </row>
    <row r="306" spans="1:20" x14ac:dyDescent="0.3">
      <c r="A306" s="8" t="s">
        <v>371</v>
      </c>
      <c r="B306" s="9">
        <v>2010</v>
      </c>
      <c r="C306" s="9" t="str">
        <f t="shared" si="4"/>
        <v>1905-07</v>
      </c>
      <c r="D306" s="10">
        <v>2010</v>
      </c>
      <c r="E306" s="8" t="s">
        <v>36</v>
      </c>
      <c r="F306" s="8" t="s">
        <v>51</v>
      </c>
      <c r="G306" s="8" t="s">
        <v>19</v>
      </c>
      <c r="H306" s="8" t="s">
        <v>27</v>
      </c>
      <c r="I306" s="10">
        <v>1.02</v>
      </c>
      <c r="J306" s="10">
        <v>1.58</v>
      </c>
      <c r="K306" s="10">
        <v>1545.37</v>
      </c>
      <c r="L306" s="8" t="s">
        <v>34</v>
      </c>
      <c r="M306" s="8" t="s">
        <v>22</v>
      </c>
      <c r="N306" s="10">
        <v>272.52999999999997</v>
      </c>
      <c r="O306" s="10">
        <v>762.33</v>
      </c>
      <c r="P306" s="8" t="s">
        <v>52</v>
      </c>
      <c r="Q306" s="10">
        <v>34.26</v>
      </c>
      <c r="R306" s="10">
        <f xml:space="preserve"> Table1_2[[#This Row],[Yield (Kg/Ha)]]/Table1_2[[#This Row],[Area (Hectares)]]</f>
        <v>1515.0686274509803</v>
      </c>
      <c r="S306" s="10">
        <f>Table1_2[[#This Row],[Yield per Acre]]/Table1_2[[#This Row],[Yield (Kg/Ha)]]</f>
        <v>0.98039215686274517</v>
      </c>
      <c r="T306" s="11">
        <f>Table1_2[[#This Row],[Yield per Acre]]/N306</f>
        <v>5.5592728413421657</v>
      </c>
    </row>
    <row r="307" spans="1:20" x14ac:dyDescent="0.3">
      <c r="A307" s="8" t="s">
        <v>372</v>
      </c>
      <c r="B307" s="9">
        <v>2018</v>
      </c>
      <c r="C307" s="9" t="str">
        <f t="shared" si="4"/>
        <v>1905-07</v>
      </c>
      <c r="D307" s="10">
        <v>2017</v>
      </c>
      <c r="E307" s="8" t="s">
        <v>44</v>
      </c>
      <c r="F307" s="8" t="s">
        <v>45</v>
      </c>
      <c r="G307" s="8" t="s">
        <v>38</v>
      </c>
      <c r="H307" s="8" t="s">
        <v>27</v>
      </c>
      <c r="I307" s="10">
        <v>76.97</v>
      </c>
      <c r="J307" s="10">
        <v>354.04</v>
      </c>
      <c r="K307" s="10">
        <v>4599.71</v>
      </c>
      <c r="L307" s="8" t="s">
        <v>34</v>
      </c>
      <c r="M307" s="8" t="s">
        <v>49</v>
      </c>
      <c r="N307" s="10">
        <v>228.98</v>
      </c>
      <c r="O307" s="10">
        <v>314.02</v>
      </c>
      <c r="P307" s="8" t="s">
        <v>42</v>
      </c>
      <c r="Q307" s="10">
        <v>20.03</v>
      </c>
      <c r="R307" s="10">
        <f xml:space="preserve"> Table1_2[[#This Row],[Yield (Kg/Ha)]]/Table1_2[[#This Row],[Area (Hectares)]]</f>
        <v>59.759776536312849</v>
      </c>
      <c r="S307" s="10">
        <f>Table1_2[[#This Row],[Yield per Acre]]/Table1_2[[#This Row],[Yield (Kg/Ha)]]</f>
        <v>1.2992074834351046E-2</v>
      </c>
      <c r="T307" s="11">
        <f>Table1_2[[#This Row],[Yield per Acre]]/N307</f>
        <v>0.26098251609884204</v>
      </c>
    </row>
    <row r="308" spans="1:20" x14ac:dyDescent="0.3">
      <c r="A308" s="8" t="s">
        <v>373</v>
      </c>
      <c r="B308" s="9">
        <v>2015</v>
      </c>
      <c r="C308" s="9" t="str">
        <f t="shared" si="4"/>
        <v>1905-07</v>
      </c>
      <c r="D308" s="10">
        <v>2015</v>
      </c>
      <c r="E308" s="8" t="s">
        <v>59</v>
      </c>
      <c r="F308" s="8" t="s">
        <v>93</v>
      </c>
      <c r="G308" s="8" t="s">
        <v>19</v>
      </c>
      <c r="H308" s="8" t="s">
        <v>64</v>
      </c>
      <c r="I308" s="10">
        <v>5.53</v>
      </c>
      <c r="J308" s="10">
        <v>10.98</v>
      </c>
      <c r="K308" s="10">
        <v>1984.93</v>
      </c>
      <c r="L308" s="8" t="s">
        <v>40</v>
      </c>
      <c r="M308" s="8" t="s">
        <v>41</v>
      </c>
      <c r="N308" s="10">
        <v>255.46</v>
      </c>
      <c r="O308" s="10">
        <v>942.51</v>
      </c>
      <c r="P308" s="8" t="s">
        <v>52</v>
      </c>
      <c r="Q308" s="10">
        <v>21.6</v>
      </c>
      <c r="R308" s="10">
        <f xml:space="preserve"> Table1_2[[#This Row],[Yield (Kg/Ha)]]/Table1_2[[#This Row],[Area (Hectares)]]</f>
        <v>358.93851717902351</v>
      </c>
      <c r="S308" s="10">
        <f>Table1_2[[#This Row],[Yield per Acre]]/Table1_2[[#This Row],[Yield (Kg/Ha)]]</f>
        <v>0.18083182640144665</v>
      </c>
      <c r="T308" s="11">
        <f>Table1_2[[#This Row],[Yield per Acre]]/N308</f>
        <v>1.4050673967706235</v>
      </c>
    </row>
    <row r="309" spans="1:20" x14ac:dyDescent="0.3">
      <c r="A309" s="8" t="s">
        <v>374</v>
      </c>
      <c r="B309" s="9">
        <v>2016</v>
      </c>
      <c r="C309" s="9" t="str">
        <f t="shared" si="4"/>
        <v>1905-07</v>
      </c>
      <c r="D309" s="10">
        <v>2016</v>
      </c>
      <c r="E309" s="8" t="s">
        <v>103</v>
      </c>
      <c r="F309" s="8" t="s">
        <v>104</v>
      </c>
      <c r="G309" s="8" t="s">
        <v>33</v>
      </c>
      <c r="H309" s="8" t="s">
        <v>46</v>
      </c>
      <c r="I309" s="10">
        <v>82.63</v>
      </c>
      <c r="J309" s="10">
        <v>177.11</v>
      </c>
      <c r="K309" s="10">
        <v>2143.4699999999998</v>
      </c>
      <c r="L309" s="8" t="s">
        <v>34</v>
      </c>
      <c r="M309" s="8" t="s">
        <v>29</v>
      </c>
      <c r="N309" s="10">
        <v>76.94</v>
      </c>
      <c r="O309" s="10">
        <v>614.47</v>
      </c>
      <c r="P309" s="8" t="s">
        <v>61</v>
      </c>
      <c r="Q309" s="10">
        <v>21.85</v>
      </c>
      <c r="R309" s="10">
        <f xml:space="preserve"> Table1_2[[#This Row],[Yield (Kg/Ha)]]/Table1_2[[#This Row],[Area (Hectares)]]</f>
        <v>25.940578482391381</v>
      </c>
      <c r="S309" s="10">
        <f>Table1_2[[#This Row],[Yield per Acre]]/Table1_2[[#This Row],[Yield (Kg/Ha)]]</f>
        <v>1.2102142079148009E-2</v>
      </c>
      <c r="T309" s="11">
        <f>Table1_2[[#This Row],[Yield per Acre]]/N309</f>
        <v>0.3371533465348503</v>
      </c>
    </row>
    <row r="310" spans="1:20" x14ac:dyDescent="0.3">
      <c r="A310" s="8" t="s">
        <v>375</v>
      </c>
      <c r="B310" s="9">
        <v>2018</v>
      </c>
      <c r="C310" s="9" t="str">
        <f t="shared" si="4"/>
        <v>1905-07</v>
      </c>
      <c r="D310" s="10">
        <v>2018</v>
      </c>
      <c r="E310" s="8" t="s">
        <v>17</v>
      </c>
      <c r="F310" s="8" t="s">
        <v>54</v>
      </c>
      <c r="G310" s="8" t="s">
        <v>33</v>
      </c>
      <c r="H310" s="8" t="s">
        <v>46</v>
      </c>
      <c r="I310" s="10">
        <v>1.43</v>
      </c>
      <c r="J310" s="10">
        <v>7.75</v>
      </c>
      <c r="K310" s="10">
        <v>5417.28</v>
      </c>
      <c r="L310" s="8" t="s">
        <v>28</v>
      </c>
      <c r="M310" s="8" t="s">
        <v>47</v>
      </c>
      <c r="N310" s="10">
        <v>259.7</v>
      </c>
      <c r="O310" s="10">
        <v>682.93</v>
      </c>
      <c r="P310" s="8" t="s">
        <v>61</v>
      </c>
      <c r="Q310" s="10">
        <v>31.72</v>
      </c>
      <c r="R310" s="10">
        <f xml:space="preserve"> Table1_2[[#This Row],[Yield (Kg/Ha)]]/Table1_2[[#This Row],[Area (Hectares)]]</f>
        <v>3788.3076923076924</v>
      </c>
      <c r="S310" s="10">
        <f>Table1_2[[#This Row],[Yield per Acre]]/Table1_2[[#This Row],[Yield (Kg/Ha)]]</f>
        <v>0.69930069930069938</v>
      </c>
      <c r="T310" s="11">
        <f>Table1_2[[#This Row],[Yield per Acre]]/N310</f>
        <v>14.587245638458578</v>
      </c>
    </row>
    <row r="311" spans="1:20" x14ac:dyDescent="0.3">
      <c r="A311" s="8" t="s">
        <v>376</v>
      </c>
      <c r="B311" s="9">
        <v>2012</v>
      </c>
      <c r="C311" s="9" t="str">
        <f t="shared" si="4"/>
        <v>1905-07</v>
      </c>
      <c r="D311" s="10">
        <v>2012</v>
      </c>
      <c r="E311" s="8" t="s">
        <v>103</v>
      </c>
      <c r="F311" s="8" t="s">
        <v>228</v>
      </c>
      <c r="G311" s="8" t="s">
        <v>33</v>
      </c>
      <c r="H311" s="8" t="s">
        <v>46</v>
      </c>
      <c r="I311" s="10">
        <v>66.09</v>
      </c>
      <c r="J311" s="10">
        <v>306.45999999999998</v>
      </c>
      <c r="K311" s="10">
        <v>4636.96</v>
      </c>
      <c r="L311" s="8" t="s">
        <v>34</v>
      </c>
      <c r="M311" s="8" t="s">
        <v>49</v>
      </c>
      <c r="N311" s="10">
        <v>176.03</v>
      </c>
      <c r="O311" s="10">
        <v>584.66</v>
      </c>
      <c r="P311" s="8" t="s">
        <v>61</v>
      </c>
      <c r="Q311" s="10">
        <v>33.74</v>
      </c>
      <c r="R311" s="10">
        <f xml:space="preserve"> Table1_2[[#This Row],[Yield (Kg/Ha)]]/Table1_2[[#This Row],[Area (Hectares)]]</f>
        <v>70.161295203510363</v>
      </c>
      <c r="S311" s="10">
        <f>Table1_2[[#This Row],[Yield per Acre]]/Table1_2[[#This Row],[Yield (Kg/Ha)]]</f>
        <v>1.5130882130428203E-2</v>
      </c>
      <c r="T311" s="11">
        <f>Table1_2[[#This Row],[Yield per Acre]]/N311</f>
        <v>0.39857578369317936</v>
      </c>
    </row>
    <row r="312" spans="1:20" x14ac:dyDescent="0.3">
      <c r="A312" s="8" t="s">
        <v>377</v>
      </c>
      <c r="B312" s="9">
        <v>2015</v>
      </c>
      <c r="C312" s="9" t="str">
        <f t="shared" si="4"/>
        <v>1905-07</v>
      </c>
      <c r="D312" s="10">
        <v>2014</v>
      </c>
      <c r="E312" s="8" t="s">
        <v>36</v>
      </c>
      <c r="F312" s="8" t="s">
        <v>51</v>
      </c>
      <c r="G312" s="8" t="s">
        <v>38</v>
      </c>
      <c r="H312" s="8" t="s">
        <v>56</v>
      </c>
      <c r="I312" s="10">
        <v>14.68</v>
      </c>
      <c r="J312" s="10">
        <v>67.75</v>
      </c>
      <c r="K312" s="10">
        <v>4615.1499999999996</v>
      </c>
      <c r="L312" s="8" t="s">
        <v>34</v>
      </c>
      <c r="M312" s="8" t="s">
        <v>41</v>
      </c>
      <c r="N312" s="10">
        <v>260.77</v>
      </c>
      <c r="O312" s="10">
        <v>747.81</v>
      </c>
      <c r="P312" s="8" t="s">
        <v>70</v>
      </c>
      <c r="Q312" s="10">
        <v>30.68</v>
      </c>
      <c r="R312" s="10">
        <f xml:space="preserve"> Table1_2[[#This Row],[Yield (Kg/Ha)]]/Table1_2[[#This Row],[Area (Hectares)]]</f>
        <v>314.38351498637599</v>
      </c>
      <c r="S312" s="10">
        <f>Table1_2[[#This Row],[Yield per Acre]]/Table1_2[[#This Row],[Yield (Kg/Ha)]]</f>
        <v>6.811989100817438E-2</v>
      </c>
      <c r="T312" s="11">
        <f>Table1_2[[#This Row],[Yield per Acre]]/N312</f>
        <v>1.2055969436145877</v>
      </c>
    </row>
    <row r="313" spans="1:20" x14ac:dyDescent="0.3">
      <c r="A313" s="8" t="s">
        <v>378</v>
      </c>
      <c r="B313" s="9">
        <v>2019</v>
      </c>
      <c r="C313" s="9" t="str">
        <f t="shared" si="4"/>
        <v>1905-07</v>
      </c>
      <c r="D313" s="10">
        <v>2019</v>
      </c>
      <c r="E313" s="8" t="s">
        <v>103</v>
      </c>
      <c r="F313" s="8" t="s">
        <v>104</v>
      </c>
      <c r="G313" s="8" t="s">
        <v>19</v>
      </c>
      <c r="H313" s="8" t="s">
        <v>20</v>
      </c>
      <c r="I313" s="10">
        <v>68.97</v>
      </c>
      <c r="J313" s="10">
        <v>450.18</v>
      </c>
      <c r="K313" s="10">
        <v>6527.15</v>
      </c>
      <c r="L313" s="8" t="s">
        <v>40</v>
      </c>
      <c r="M313" s="8" t="s">
        <v>49</v>
      </c>
      <c r="N313" s="10">
        <v>295.33</v>
      </c>
      <c r="O313" s="10">
        <v>850.09</v>
      </c>
      <c r="P313" s="8" t="s">
        <v>42</v>
      </c>
      <c r="Q313" s="10">
        <v>27.56</v>
      </c>
      <c r="R313" s="10">
        <f xml:space="preserve"> Table1_2[[#This Row],[Yield (Kg/Ha)]]/Table1_2[[#This Row],[Area (Hectares)]]</f>
        <v>94.637523560968532</v>
      </c>
      <c r="S313" s="10">
        <f>Table1_2[[#This Row],[Yield per Acre]]/Table1_2[[#This Row],[Yield (Kg/Ha)]]</f>
        <v>1.4499057561258518E-2</v>
      </c>
      <c r="T313" s="11">
        <f>Table1_2[[#This Row],[Yield per Acre]]/N313</f>
        <v>0.3204466988147785</v>
      </c>
    </row>
    <row r="314" spans="1:20" x14ac:dyDescent="0.3">
      <c r="A314" s="8" t="s">
        <v>379</v>
      </c>
      <c r="B314" s="9">
        <v>2023</v>
      </c>
      <c r="C314" s="9" t="str">
        <f t="shared" si="4"/>
        <v>1905-07</v>
      </c>
      <c r="D314" s="10">
        <v>2022</v>
      </c>
      <c r="E314" s="8" t="s">
        <v>17</v>
      </c>
      <c r="F314" s="8" t="s">
        <v>18</v>
      </c>
      <c r="G314" s="8" t="s">
        <v>38</v>
      </c>
      <c r="H314" s="8" t="s">
        <v>27</v>
      </c>
      <c r="I314" s="10">
        <v>48.56</v>
      </c>
      <c r="J314" s="10">
        <v>214.82</v>
      </c>
      <c r="K314" s="10">
        <v>4423.83</v>
      </c>
      <c r="L314" s="8" t="s">
        <v>28</v>
      </c>
      <c r="M314" s="8" t="s">
        <v>22</v>
      </c>
      <c r="N314" s="10">
        <v>218.56</v>
      </c>
      <c r="O314" s="10">
        <v>1093.8699999999999</v>
      </c>
      <c r="P314" s="8" t="s">
        <v>61</v>
      </c>
      <c r="Q314" s="10">
        <v>24.29</v>
      </c>
      <c r="R314" s="10">
        <f xml:space="preserve"> Table1_2[[#This Row],[Yield (Kg/Ha)]]/Table1_2[[#This Row],[Area (Hectares)]]</f>
        <v>91.100288303130142</v>
      </c>
      <c r="S314" s="10">
        <f>Table1_2[[#This Row],[Yield per Acre]]/Table1_2[[#This Row],[Yield (Kg/Ha)]]</f>
        <v>2.059308072487644E-2</v>
      </c>
      <c r="T314" s="11">
        <f>Table1_2[[#This Row],[Yield per Acre]]/N314</f>
        <v>0.41682049919074921</v>
      </c>
    </row>
    <row r="315" spans="1:20" x14ac:dyDescent="0.3">
      <c r="A315" s="8" t="s">
        <v>380</v>
      </c>
      <c r="B315" s="9">
        <v>2010</v>
      </c>
      <c r="C315" s="9" t="str">
        <f t="shared" si="4"/>
        <v>1905-07</v>
      </c>
      <c r="D315" s="10">
        <v>2010</v>
      </c>
      <c r="E315" s="8" t="s">
        <v>59</v>
      </c>
      <c r="F315" s="8" t="s">
        <v>60</v>
      </c>
      <c r="G315" s="8" t="s">
        <v>38</v>
      </c>
      <c r="H315" s="8" t="s">
        <v>56</v>
      </c>
      <c r="I315" s="10">
        <v>6.25</v>
      </c>
      <c r="J315" s="10">
        <v>8.3699999999999992</v>
      </c>
      <c r="K315" s="10">
        <v>1339.63</v>
      </c>
      <c r="L315" s="8" t="s">
        <v>34</v>
      </c>
      <c r="M315" s="8" t="s">
        <v>22</v>
      </c>
      <c r="N315" s="10">
        <v>237.55</v>
      </c>
      <c r="O315" s="10">
        <v>360.94</v>
      </c>
      <c r="P315" s="8" t="s">
        <v>70</v>
      </c>
      <c r="Q315" s="10">
        <v>30.25</v>
      </c>
      <c r="R315" s="10">
        <f xml:space="preserve"> Table1_2[[#This Row],[Yield (Kg/Ha)]]/Table1_2[[#This Row],[Area (Hectares)]]</f>
        <v>214.34080000000003</v>
      </c>
      <c r="S315" s="10">
        <f>Table1_2[[#This Row],[Yield per Acre]]/Table1_2[[#This Row],[Yield (Kg/Ha)]]</f>
        <v>0.16</v>
      </c>
      <c r="T315" s="11">
        <f>Table1_2[[#This Row],[Yield per Acre]]/N315</f>
        <v>0.90229762155335724</v>
      </c>
    </row>
    <row r="316" spans="1:20" x14ac:dyDescent="0.3">
      <c r="A316" s="8" t="s">
        <v>381</v>
      </c>
      <c r="B316" s="9">
        <v>2013</v>
      </c>
      <c r="C316" s="9" t="str">
        <f t="shared" si="4"/>
        <v>1905-07</v>
      </c>
      <c r="D316" s="10">
        <v>2013</v>
      </c>
      <c r="E316" s="8" t="s">
        <v>17</v>
      </c>
      <c r="F316" s="8" t="s">
        <v>72</v>
      </c>
      <c r="G316" s="8" t="s">
        <v>19</v>
      </c>
      <c r="H316" s="8" t="s">
        <v>64</v>
      </c>
      <c r="I316" s="10">
        <v>36.51</v>
      </c>
      <c r="J316" s="10">
        <v>135.66</v>
      </c>
      <c r="K316" s="10">
        <v>3715.57</v>
      </c>
      <c r="L316" s="8" t="s">
        <v>40</v>
      </c>
      <c r="M316" s="8" t="s">
        <v>49</v>
      </c>
      <c r="N316" s="10">
        <v>235.6</v>
      </c>
      <c r="O316" s="10">
        <v>761.27</v>
      </c>
      <c r="P316" s="8" t="s">
        <v>42</v>
      </c>
      <c r="Q316" s="10">
        <v>27.66</v>
      </c>
      <c r="R316" s="10">
        <f xml:space="preserve"> Table1_2[[#This Row],[Yield (Kg/Ha)]]/Table1_2[[#This Row],[Area (Hectares)]]</f>
        <v>101.76855655984663</v>
      </c>
      <c r="S316" s="10">
        <f>Table1_2[[#This Row],[Yield per Acre]]/Table1_2[[#This Row],[Yield (Kg/Ha)]]</f>
        <v>2.7389756231169543E-2</v>
      </c>
      <c r="T316" s="11">
        <f>Table1_2[[#This Row],[Yield per Acre]]/N316</f>
        <v>0.43195482410800778</v>
      </c>
    </row>
    <row r="317" spans="1:20" x14ac:dyDescent="0.3">
      <c r="A317" s="8" t="s">
        <v>382</v>
      </c>
      <c r="B317" s="9">
        <v>2011</v>
      </c>
      <c r="C317" s="9" t="str">
        <f t="shared" si="4"/>
        <v>1905-07</v>
      </c>
      <c r="D317" s="10">
        <v>2010</v>
      </c>
      <c r="E317" s="8" t="s">
        <v>17</v>
      </c>
      <c r="F317" s="8" t="s">
        <v>54</v>
      </c>
      <c r="G317" s="8" t="s">
        <v>38</v>
      </c>
      <c r="H317" s="8" t="s">
        <v>46</v>
      </c>
      <c r="I317" s="10">
        <v>42.24</v>
      </c>
      <c r="J317" s="10">
        <v>241.98</v>
      </c>
      <c r="K317" s="10">
        <v>5728.67</v>
      </c>
      <c r="L317" s="8" t="s">
        <v>34</v>
      </c>
      <c r="M317" s="8" t="s">
        <v>41</v>
      </c>
      <c r="N317" s="10">
        <v>291.45999999999998</v>
      </c>
      <c r="O317" s="10">
        <v>253.8</v>
      </c>
      <c r="P317" s="8" t="s">
        <v>70</v>
      </c>
      <c r="Q317" s="10">
        <v>23.05</v>
      </c>
      <c r="R317" s="10">
        <f xml:space="preserve"> Table1_2[[#This Row],[Yield (Kg/Ha)]]/Table1_2[[#This Row],[Area (Hectares)]]</f>
        <v>135.62192234848484</v>
      </c>
      <c r="S317" s="10">
        <f>Table1_2[[#This Row],[Yield per Acre]]/Table1_2[[#This Row],[Yield (Kg/Ha)]]</f>
        <v>2.3674242424242424E-2</v>
      </c>
      <c r="T317" s="11">
        <f>Table1_2[[#This Row],[Yield per Acre]]/N317</f>
        <v>0.46531915991382988</v>
      </c>
    </row>
    <row r="318" spans="1:20" x14ac:dyDescent="0.3">
      <c r="A318" s="8" t="s">
        <v>383</v>
      </c>
      <c r="B318" s="9">
        <v>2021</v>
      </c>
      <c r="C318" s="9" t="str">
        <f t="shared" si="4"/>
        <v>1905-07</v>
      </c>
      <c r="D318" s="10">
        <v>2021</v>
      </c>
      <c r="E318" s="8" t="s">
        <v>17</v>
      </c>
      <c r="F318" s="8" t="s">
        <v>54</v>
      </c>
      <c r="G318" s="8" t="s">
        <v>19</v>
      </c>
      <c r="H318" s="8" t="s">
        <v>20</v>
      </c>
      <c r="I318" s="10">
        <v>75.760000000000005</v>
      </c>
      <c r="J318" s="10">
        <v>324.23</v>
      </c>
      <c r="K318" s="10">
        <v>4279.6899999999996</v>
      </c>
      <c r="L318" s="8" t="s">
        <v>40</v>
      </c>
      <c r="M318" s="8" t="s">
        <v>22</v>
      </c>
      <c r="N318" s="10">
        <v>244.04</v>
      </c>
      <c r="O318" s="10">
        <v>1164.29</v>
      </c>
      <c r="P318" s="8" t="s">
        <v>70</v>
      </c>
      <c r="Q318" s="10">
        <v>26.73</v>
      </c>
      <c r="R318" s="10">
        <f xml:space="preserve"> Table1_2[[#This Row],[Yield (Kg/Ha)]]/Table1_2[[#This Row],[Area (Hectares)]]</f>
        <v>56.490100316789857</v>
      </c>
      <c r="S318" s="10">
        <f>Table1_2[[#This Row],[Yield per Acre]]/Table1_2[[#This Row],[Yield (Kg/Ha)]]</f>
        <v>1.3199577613516367E-2</v>
      </c>
      <c r="T318" s="11">
        <f>Table1_2[[#This Row],[Yield per Acre]]/N318</f>
        <v>0.23147885722336445</v>
      </c>
    </row>
    <row r="319" spans="1:20" x14ac:dyDescent="0.3">
      <c r="A319" s="8" t="s">
        <v>384</v>
      </c>
      <c r="B319" s="9">
        <v>2021</v>
      </c>
      <c r="C319" s="9" t="str">
        <f t="shared" si="4"/>
        <v>1905-07</v>
      </c>
      <c r="D319" s="10">
        <v>2021</v>
      </c>
      <c r="E319" s="8" t="s">
        <v>103</v>
      </c>
      <c r="F319" s="8" t="s">
        <v>104</v>
      </c>
      <c r="G319" s="8" t="s">
        <v>19</v>
      </c>
      <c r="H319" s="8" t="s">
        <v>64</v>
      </c>
      <c r="I319" s="10">
        <v>38.340000000000003</v>
      </c>
      <c r="J319" s="10">
        <v>136.91</v>
      </c>
      <c r="K319" s="10">
        <v>3571.05</v>
      </c>
      <c r="L319" s="8" t="s">
        <v>34</v>
      </c>
      <c r="M319" s="8" t="s">
        <v>41</v>
      </c>
      <c r="N319" s="10">
        <v>82.52</v>
      </c>
      <c r="O319" s="10">
        <v>783.99</v>
      </c>
      <c r="P319" s="8" t="s">
        <v>70</v>
      </c>
      <c r="Q319" s="10">
        <v>20.079999999999998</v>
      </c>
      <c r="R319" s="10">
        <f xml:space="preserve"> Table1_2[[#This Row],[Yield (Kg/Ha)]]/Table1_2[[#This Row],[Area (Hectares)]]</f>
        <v>93.141627543035995</v>
      </c>
      <c r="S319" s="10">
        <f>Table1_2[[#This Row],[Yield per Acre]]/Table1_2[[#This Row],[Yield (Kg/Ha)]]</f>
        <v>2.6082420448617631E-2</v>
      </c>
      <c r="T319" s="11">
        <f>Table1_2[[#This Row],[Yield per Acre]]/N319</f>
        <v>1.1287157966921473</v>
      </c>
    </row>
    <row r="320" spans="1:20" x14ac:dyDescent="0.3">
      <c r="A320" s="8" t="s">
        <v>385</v>
      </c>
      <c r="B320" s="9">
        <v>2015</v>
      </c>
      <c r="C320" s="9" t="str">
        <f t="shared" si="4"/>
        <v>1905-07</v>
      </c>
      <c r="D320" s="10">
        <v>2015</v>
      </c>
      <c r="E320" s="8" t="s">
        <v>25</v>
      </c>
      <c r="F320" s="8" t="s">
        <v>26</v>
      </c>
      <c r="G320" s="8" t="s">
        <v>19</v>
      </c>
      <c r="H320" s="8" t="s">
        <v>64</v>
      </c>
      <c r="I320" s="10">
        <v>77.59</v>
      </c>
      <c r="J320" s="10">
        <v>368.72</v>
      </c>
      <c r="K320" s="10">
        <v>4752.2</v>
      </c>
      <c r="L320" s="8" t="s">
        <v>34</v>
      </c>
      <c r="M320" s="8" t="s">
        <v>49</v>
      </c>
      <c r="N320" s="10">
        <v>172.64</v>
      </c>
      <c r="O320" s="10">
        <v>772.68</v>
      </c>
      <c r="P320" s="8" t="s">
        <v>70</v>
      </c>
      <c r="Q320" s="10">
        <v>21.09</v>
      </c>
      <c r="R320" s="10">
        <f xml:space="preserve"> Table1_2[[#This Row],[Yield (Kg/Ha)]]/Table1_2[[#This Row],[Area (Hectares)]]</f>
        <v>61.247583451475698</v>
      </c>
      <c r="S320" s="10">
        <f>Table1_2[[#This Row],[Yield per Acre]]/Table1_2[[#This Row],[Yield (Kg/Ha)]]</f>
        <v>1.2888258796236627E-2</v>
      </c>
      <c r="T320" s="11">
        <f>Table1_2[[#This Row],[Yield per Acre]]/N320</f>
        <v>0.35477052508964146</v>
      </c>
    </row>
    <row r="321" spans="1:20" x14ac:dyDescent="0.3">
      <c r="A321" s="8" t="s">
        <v>386</v>
      </c>
      <c r="B321" s="9">
        <v>2012</v>
      </c>
      <c r="C321" s="9" t="str">
        <f t="shared" si="4"/>
        <v>1905-07</v>
      </c>
      <c r="D321" s="10">
        <v>2012</v>
      </c>
      <c r="E321" s="8" t="s">
        <v>59</v>
      </c>
      <c r="F321" s="8" t="s">
        <v>60</v>
      </c>
      <c r="G321" s="8" t="s">
        <v>19</v>
      </c>
      <c r="H321" s="8" t="s">
        <v>64</v>
      </c>
      <c r="I321" s="10">
        <v>78.84</v>
      </c>
      <c r="J321" s="10">
        <v>154.22999999999999</v>
      </c>
      <c r="K321" s="10">
        <v>1956.22</v>
      </c>
      <c r="L321" s="8" t="s">
        <v>28</v>
      </c>
      <c r="M321" s="8" t="s">
        <v>49</v>
      </c>
      <c r="N321" s="10">
        <v>72.989999999999995</v>
      </c>
      <c r="O321" s="10">
        <v>421.2</v>
      </c>
      <c r="P321" s="8" t="s">
        <v>42</v>
      </c>
      <c r="Q321" s="10">
        <v>29.95</v>
      </c>
      <c r="R321" s="10">
        <f xml:space="preserve"> Table1_2[[#This Row],[Yield (Kg/Ha)]]/Table1_2[[#This Row],[Area (Hectares)]]</f>
        <v>24.812531709791983</v>
      </c>
      <c r="S321" s="10">
        <f>Table1_2[[#This Row],[Yield per Acre]]/Table1_2[[#This Row],[Yield (Kg/Ha)]]</f>
        <v>1.2683916793505834E-2</v>
      </c>
      <c r="T321" s="11">
        <f>Table1_2[[#This Row],[Yield per Acre]]/N321</f>
        <v>0.3399442623618576</v>
      </c>
    </row>
    <row r="322" spans="1:20" x14ac:dyDescent="0.3">
      <c r="A322" s="8" t="s">
        <v>387</v>
      </c>
      <c r="B322" s="9">
        <v>2022</v>
      </c>
      <c r="C322" s="9" t="str">
        <f t="shared" ref="C322:C385" si="5">TEXT(B322,"YYYY-MM")</f>
        <v>1905-07</v>
      </c>
      <c r="D322" s="10">
        <v>2022</v>
      </c>
      <c r="E322" s="8" t="s">
        <v>31</v>
      </c>
      <c r="F322" s="8" t="s">
        <v>82</v>
      </c>
      <c r="G322" s="8" t="s">
        <v>19</v>
      </c>
      <c r="H322" s="8" t="s">
        <v>27</v>
      </c>
      <c r="I322" s="10">
        <v>48.01</v>
      </c>
      <c r="J322" s="10">
        <v>209.71</v>
      </c>
      <c r="K322" s="10">
        <v>4368.01</v>
      </c>
      <c r="L322" s="8" t="s">
        <v>21</v>
      </c>
      <c r="M322" s="8" t="s">
        <v>47</v>
      </c>
      <c r="N322" s="10">
        <v>78.680000000000007</v>
      </c>
      <c r="O322" s="10">
        <v>546.01</v>
      </c>
      <c r="P322" s="8" t="s">
        <v>42</v>
      </c>
      <c r="Q322" s="10">
        <v>33.57</v>
      </c>
      <c r="R322" s="10">
        <f xml:space="preserve"> Table1_2[[#This Row],[Yield (Kg/Ha)]]/Table1_2[[#This Row],[Area (Hectares)]]</f>
        <v>90.981253905436375</v>
      </c>
      <c r="S322" s="10">
        <f>Table1_2[[#This Row],[Yield per Acre]]/Table1_2[[#This Row],[Yield (Kg/Ha)]]</f>
        <v>2.0828993959591754E-2</v>
      </c>
      <c r="T322" s="11">
        <f>Table1_2[[#This Row],[Yield per Acre]]/N322</f>
        <v>1.1563453724636041</v>
      </c>
    </row>
    <row r="323" spans="1:20" x14ac:dyDescent="0.3">
      <c r="A323" s="8" t="s">
        <v>388</v>
      </c>
      <c r="B323" s="9">
        <v>2021</v>
      </c>
      <c r="C323" s="9" t="str">
        <f t="shared" si="5"/>
        <v>1905-07</v>
      </c>
      <c r="D323" s="10">
        <v>2020</v>
      </c>
      <c r="E323" s="8" t="s">
        <v>103</v>
      </c>
      <c r="F323" s="8" t="s">
        <v>104</v>
      </c>
      <c r="G323" s="8" t="s">
        <v>38</v>
      </c>
      <c r="H323" s="8" t="s">
        <v>46</v>
      </c>
      <c r="I323" s="10">
        <v>91.68</v>
      </c>
      <c r="J323" s="10">
        <v>611.5</v>
      </c>
      <c r="K323" s="10">
        <v>6669.93</v>
      </c>
      <c r="L323" s="8" t="s">
        <v>28</v>
      </c>
      <c r="M323" s="8" t="s">
        <v>47</v>
      </c>
      <c r="N323" s="10">
        <v>114.15</v>
      </c>
      <c r="O323" s="10">
        <v>923.98</v>
      </c>
      <c r="P323" s="8" t="s">
        <v>23</v>
      </c>
      <c r="Q323" s="10">
        <v>33.67</v>
      </c>
      <c r="R323" s="10">
        <f xml:space="preserve"> Table1_2[[#This Row],[Yield (Kg/Ha)]]/Table1_2[[#This Row],[Area (Hectares)]]</f>
        <v>72.752290575916234</v>
      </c>
      <c r="S323" s="10">
        <f>Table1_2[[#This Row],[Yield per Acre]]/Table1_2[[#This Row],[Yield (Kg/Ha)]]</f>
        <v>1.0907504363001745E-2</v>
      </c>
      <c r="T323" s="11">
        <f>Table1_2[[#This Row],[Yield per Acre]]/N323</f>
        <v>0.63733938305664684</v>
      </c>
    </row>
    <row r="324" spans="1:20" x14ac:dyDescent="0.3">
      <c r="A324" s="8" t="s">
        <v>389</v>
      </c>
      <c r="B324" s="9">
        <v>2018</v>
      </c>
      <c r="C324" s="9" t="str">
        <f t="shared" si="5"/>
        <v>1905-07</v>
      </c>
      <c r="D324" s="10">
        <v>2017</v>
      </c>
      <c r="E324" s="8" t="s">
        <v>44</v>
      </c>
      <c r="F324" s="8" t="s">
        <v>67</v>
      </c>
      <c r="G324" s="8" t="s">
        <v>38</v>
      </c>
      <c r="H324" s="8" t="s">
        <v>64</v>
      </c>
      <c r="I324" s="10">
        <v>30.35</v>
      </c>
      <c r="J324" s="10">
        <v>148.99</v>
      </c>
      <c r="K324" s="10">
        <v>4909.17</v>
      </c>
      <c r="L324" s="8" t="s">
        <v>34</v>
      </c>
      <c r="M324" s="8" t="s">
        <v>47</v>
      </c>
      <c r="N324" s="10">
        <v>178.47</v>
      </c>
      <c r="O324" s="10">
        <v>1148.21</v>
      </c>
      <c r="P324" s="8" t="s">
        <v>42</v>
      </c>
      <c r="Q324" s="10">
        <v>34.57</v>
      </c>
      <c r="R324" s="10">
        <f xml:space="preserve"> Table1_2[[#This Row],[Yield (Kg/Ha)]]/Table1_2[[#This Row],[Area (Hectares)]]</f>
        <v>161.75189456342667</v>
      </c>
      <c r="S324" s="10">
        <f>Table1_2[[#This Row],[Yield per Acre]]/Table1_2[[#This Row],[Yield (Kg/Ha)]]</f>
        <v>3.2948929159802305E-2</v>
      </c>
      <c r="T324" s="11">
        <f>Table1_2[[#This Row],[Yield per Acre]]/N324</f>
        <v>0.90632540238374337</v>
      </c>
    </row>
    <row r="325" spans="1:20" x14ac:dyDescent="0.3">
      <c r="A325" s="8" t="s">
        <v>390</v>
      </c>
      <c r="B325" s="9">
        <v>2011</v>
      </c>
      <c r="C325" s="9" t="str">
        <f t="shared" si="5"/>
        <v>1905-07</v>
      </c>
      <c r="D325" s="10">
        <v>2011</v>
      </c>
      <c r="E325" s="8" t="s">
        <v>25</v>
      </c>
      <c r="F325" s="8" t="s">
        <v>69</v>
      </c>
      <c r="G325" s="8" t="s">
        <v>33</v>
      </c>
      <c r="H325" s="8" t="s">
        <v>39</v>
      </c>
      <c r="I325" s="10">
        <v>63.32</v>
      </c>
      <c r="J325" s="10">
        <v>144.31</v>
      </c>
      <c r="K325" s="10">
        <v>2279.0500000000002</v>
      </c>
      <c r="L325" s="8" t="s">
        <v>28</v>
      </c>
      <c r="M325" s="8" t="s">
        <v>41</v>
      </c>
      <c r="N325" s="10">
        <v>258.92</v>
      </c>
      <c r="O325" s="10">
        <v>405.58</v>
      </c>
      <c r="P325" s="8" t="s">
        <v>52</v>
      </c>
      <c r="Q325" s="10">
        <v>29.7</v>
      </c>
      <c r="R325" s="10">
        <f xml:space="preserve"> Table1_2[[#This Row],[Yield (Kg/Ha)]]/Table1_2[[#This Row],[Area (Hectares)]]</f>
        <v>35.992577384712575</v>
      </c>
      <c r="S325" s="10">
        <f>Table1_2[[#This Row],[Yield per Acre]]/Table1_2[[#This Row],[Yield (Kg/Ha)]]</f>
        <v>1.5792798483891347E-2</v>
      </c>
      <c r="T325" s="11">
        <f>Table1_2[[#This Row],[Yield per Acre]]/N325</f>
        <v>0.1390104178306526</v>
      </c>
    </row>
    <row r="326" spans="1:20" x14ac:dyDescent="0.3">
      <c r="A326" s="8" t="s">
        <v>391</v>
      </c>
      <c r="B326" s="9">
        <v>2022</v>
      </c>
      <c r="C326" s="9" t="str">
        <f t="shared" si="5"/>
        <v>1905-07</v>
      </c>
      <c r="D326" s="10">
        <v>2021</v>
      </c>
      <c r="E326" s="8" t="s">
        <v>25</v>
      </c>
      <c r="F326" s="8" t="s">
        <v>87</v>
      </c>
      <c r="G326" s="8" t="s">
        <v>38</v>
      </c>
      <c r="H326" s="8" t="s">
        <v>64</v>
      </c>
      <c r="I326" s="10">
        <v>9.66</v>
      </c>
      <c r="J326" s="10">
        <v>12.81</v>
      </c>
      <c r="K326" s="10">
        <v>1325.61</v>
      </c>
      <c r="L326" s="8" t="s">
        <v>34</v>
      </c>
      <c r="M326" s="8" t="s">
        <v>29</v>
      </c>
      <c r="N326" s="10">
        <v>189.52</v>
      </c>
      <c r="O326" s="10">
        <v>774.96</v>
      </c>
      <c r="P326" s="8" t="s">
        <v>42</v>
      </c>
      <c r="Q326" s="10">
        <v>33.659999999999997</v>
      </c>
      <c r="R326" s="10">
        <f xml:space="preserve"> Table1_2[[#This Row],[Yield (Kg/Ha)]]/Table1_2[[#This Row],[Area (Hectares)]]</f>
        <v>137.22670807453414</v>
      </c>
      <c r="S326" s="10">
        <f>Table1_2[[#This Row],[Yield per Acre]]/Table1_2[[#This Row],[Yield (Kg/Ha)]]</f>
        <v>0.10351966873706003</v>
      </c>
      <c r="T326" s="11">
        <f>Table1_2[[#This Row],[Yield per Acre]]/N326</f>
        <v>0.72407507426411011</v>
      </c>
    </row>
    <row r="327" spans="1:20" x14ac:dyDescent="0.3">
      <c r="A327" s="8" t="s">
        <v>392</v>
      </c>
      <c r="B327" s="9">
        <v>2016</v>
      </c>
      <c r="C327" s="9" t="str">
        <f t="shared" si="5"/>
        <v>1905-07</v>
      </c>
      <c r="D327" s="10">
        <v>2016</v>
      </c>
      <c r="E327" s="8" t="s">
        <v>36</v>
      </c>
      <c r="F327" s="8" t="s">
        <v>77</v>
      </c>
      <c r="G327" s="8" t="s">
        <v>38</v>
      </c>
      <c r="H327" s="8" t="s">
        <v>20</v>
      </c>
      <c r="I327" s="10">
        <v>2.67</v>
      </c>
      <c r="J327" s="10">
        <v>13.46</v>
      </c>
      <c r="K327" s="10">
        <v>5039.79</v>
      </c>
      <c r="L327" s="8" t="s">
        <v>21</v>
      </c>
      <c r="M327" s="8" t="s">
        <v>49</v>
      </c>
      <c r="N327" s="10">
        <v>210.36</v>
      </c>
      <c r="O327" s="10">
        <v>818.35</v>
      </c>
      <c r="P327" s="8" t="s">
        <v>61</v>
      </c>
      <c r="Q327" s="10">
        <v>20.68</v>
      </c>
      <c r="R327" s="10">
        <f xml:space="preserve"> Table1_2[[#This Row],[Yield (Kg/Ha)]]/Table1_2[[#This Row],[Area (Hectares)]]</f>
        <v>1887.5617977528091</v>
      </c>
      <c r="S327" s="10">
        <f>Table1_2[[#This Row],[Yield per Acre]]/Table1_2[[#This Row],[Yield (Kg/Ha)]]</f>
        <v>0.37453183520599254</v>
      </c>
      <c r="T327" s="11">
        <f>Table1_2[[#This Row],[Yield per Acre]]/N327</f>
        <v>8.9730072150257136</v>
      </c>
    </row>
    <row r="328" spans="1:20" x14ac:dyDescent="0.3">
      <c r="A328" s="8" t="s">
        <v>393</v>
      </c>
      <c r="B328" s="9">
        <v>2014</v>
      </c>
      <c r="C328" s="9" t="str">
        <f t="shared" si="5"/>
        <v>1905-07</v>
      </c>
      <c r="D328" s="10">
        <v>2014</v>
      </c>
      <c r="E328" s="8" t="s">
        <v>59</v>
      </c>
      <c r="F328" s="8" t="s">
        <v>60</v>
      </c>
      <c r="G328" s="8" t="s">
        <v>19</v>
      </c>
      <c r="H328" s="8" t="s">
        <v>20</v>
      </c>
      <c r="I328" s="10">
        <v>61.05</v>
      </c>
      <c r="J328" s="10">
        <v>164.17</v>
      </c>
      <c r="K328" s="10">
        <v>2689.1</v>
      </c>
      <c r="L328" s="8" t="s">
        <v>28</v>
      </c>
      <c r="M328" s="8" t="s">
        <v>41</v>
      </c>
      <c r="N328" s="10">
        <v>145.35</v>
      </c>
      <c r="O328" s="10">
        <v>1022.12</v>
      </c>
      <c r="P328" s="8" t="s">
        <v>23</v>
      </c>
      <c r="Q328" s="10">
        <v>27.11</v>
      </c>
      <c r="R328" s="10">
        <f xml:space="preserve"> Table1_2[[#This Row],[Yield (Kg/Ha)]]/Table1_2[[#This Row],[Area (Hectares)]]</f>
        <v>44.04750204750205</v>
      </c>
      <c r="S328" s="10">
        <f>Table1_2[[#This Row],[Yield per Acre]]/Table1_2[[#This Row],[Yield (Kg/Ha)]]</f>
        <v>1.638001638001638E-2</v>
      </c>
      <c r="T328" s="11">
        <f>Table1_2[[#This Row],[Yield per Acre]]/N328</f>
        <v>0.30304438973169628</v>
      </c>
    </row>
    <row r="329" spans="1:20" x14ac:dyDescent="0.3">
      <c r="A329" s="8" t="s">
        <v>394</v>
      </c>
      <c r="B329" s="9">
        <v>2016</v>
      </c>
      <c r="C329" s="9" t="str">
        <f t="shared" si="5"/>
        <v>1905-07</v>
      </c>
      <c r="D329" s="10">
        <v>2016</v>
      </c>
      <c r="E329" s="8" t="s">
        <v>103</v>
      </c>
      <c r="F329" s="8" t="s">
        <v>228</v>
      </c>
      <c r="G329" s="8" t="s">
        <v>19</v>
      </c>
      <c r="H329" s="8" t="s">
        <v>20</v>
      </c>
      <c r="I329" s="10">
        <v>96.05</v>
      </c>
      <c r="J329" s="10">
        <v>179.08</v>
      </c>
      <c r="K329" s="10">
        <v>1864.45</v>
      </c>
      <c r="L329" s="8" t="s">
        <v>34</v>
      </c>
      <c r="M329" s="8" t="s">
        <v>22</v>
      </c>
      <c r="N329" s="10">
        <v>289.35000000000002</v>
      </c>
      <c r="O329" s="10">
        <v>211.15</v>
      </c>
      <c r="P329" s="8" t="s">
        <v>61</v>
      </c>
      <c r="Q329" s="10">
        <v>22.12</v>
      </c>
      <c r="R329" s="10">
        <f xml:space="preserve"> Table1_2[[#This Row],[Yield (Kg/Ha)]]/Table1_2[[#This Row],[Area (Hectares)]]</f>
        <v>19.411244143675169</v>
      </c>
      <c r="S329" s="10">
        <f>Table1_2[[#This Row],[Yield per Acre]]/Table1_2[[#This Row],[Yield (Kg/Ha)]]</f>
        <v>1.0411244143675169E-2</v>
      </c>
      <c r="T329" s="11">
        <f>Table1_2[[#This Row],[Yield per Acre]]/N329</f>
        <v>6.7085689108951671E-2</v>
      </c>
    </row>
    <row r="330" spans="1:20" x14ac:dyDescent="0.3">
      <c r="A330" s="8" t="s">
        <v>395</v>
      </c>
      <c r="B330" s="9">
        <v>2016</v>
      </c>
      <c r="C330" s="9" t="str">
        <f t="shared" si="5"/>
        <v>1905-07</v>
      </c>
      <c r="D330" s="10">
        <v>2016</v>
      </c>
      <c r="E330" s="8" t="s">
        <v>59</v>
      </c>
      <c r="F330" s="8" t="s">
        <v>93</v>
      </c>
      <c r="G330" s="8" t="s">
        <v>19</v>
      </c>
      <c r="H330" s="8" t="s">
        <v>27</v>
      </c>
      <c r="I330" s="10">
        <v>94.75</v>
      </c>
      <c r="J330" s="10">
        <v>267.97000000000003</v>
      </c>
      <c r="K330" s="10">
        <v>2828.15</v>
      </c>
      <c r="L330" s="8" t="s">
        <v>34</v>
      </c>
      <c r="M330" s="8" t="s">
        <v>41</v>
      </c>
      <c r="N330" s="10">
        <v>102.93</v>
      </c>
      <c r="O330" s="10">
        <v>1105.6300000000001</v>
      </c>
      <c r="P330" s="8" t="s">
        <v>61</v>
      </c>
      <c r="Q330" s="10">
        <v>22.14</v>
      </c>
      <c r="R330" s="10">
        <f xml:space="preserve"> Table1_2[[#This Row],[Yield (Kg/Ha)]]/Table1_2[[#This Row],[Area (Hectares)]]</f>
        <v>29.848548812664909</v>
      </c>
      <c r="S330" s="10">
        <f>Table1_2[[#This Row],[Yield per Acre]]/Table1_2[[#This Row],[Yield (Kg/Ha)]]</f>
        <v>1.0554089709762533E-2</v>
      </c>
      <c r="T330" s="11">
        <f>Table1_2[[#This Row],[Yield per Acre]]/N330</f>
        <v>0.28998881582303415</v>
      </c>
    </row>
    <row r="331" spans="1:20" x14ac:dyDescent="0.3">
      <c r="A331" s="8" t="s">
        <v>396</v>
      </c>
      <c r="B331" s="9">
        <v>2013</v>
      </c>
      <c r="C331" s="9" t="str">
        <f t="shared" si="5"/>
        <v>1905-07</v>
      </c>
      <c r="D331" s="10">
        <v>2013</v>
      </c>
      <c r="E331" s="8" t="s">
        <v>59</v>
      </c>
      <c r="F331" s="8" t="s">
        <v>63</v>
      </c>
      <c r="G331" s="8" t="s">
        <v>33</v>
      </c>
      <c r="H331" s="8" t="s">
        <v>56</v>
      </c>
      <c r="I331" s="10">
        <v>67.430000000000007</v>
      </c>
      <c r="J331" s="10">
        <v>296.95</v>
      </c>
      <c r="K331" s="10">
        <v>4403.76</v>
      </c>
      <c r="L331" s="8" t="s">
        <v>21</v>
      </c>
      <c r="M331" s="8" t="s">
        <v>22</v>
      </c>
      <c r="N331" s="10">
        <v>262.85000000000002</v>
      </c>
      <c r="O331" s="10">
        <v>1132.3699999999999</v>
      </c>
      <c r="P331" s="8" t="s">
        <v>61</v>
      </c>
      <c r="Q331" s="10">
        <v>26.92</v>
      </c>
      <c r="R331" s="10">
        <f xml:space="preserve"> Table1_2[[#This Row],[Yield (Kg/Ha)]]/Table1_2[[#This Row],[Area (Hectares)]]</f>
        <v>65.308616342874089</v>
      </c>
      <c r="S331" s="10">
        <f>Table1_2[[#This Row],[Yield per Acre]]/Table1_2[[#This Row],[Yield (Kg/Ha)]]</f>
        <v>1.4830194275545008E-2</v>
      </c>
      <c r="T331" s="11">
        <f>Table1_2[[#This Row],[Yield per Acre]]/N331</f>
        <v>0.24846344433279088</v>
      </c>
    </row>
    <row r="332" spans="1:20" x14ac:dyDescent="0.3">
      <c r="A332" s="8" t="s">
        <v>397</v>
      </c>
      <c r="B332" s="9">
        <v>2011</v>
      </c>
      <c r="C332" s="9" t="str">
        <f t="shared" si="5"/>
        <v>1905-07</v>
      </c>
      <c r="D332" s="10">
        <v>2011</v>
      </c>
      <c r="E332" s="8" t="s">
        <v>31</v>
      </c>
      <c r="F332" s="8" t="s">
        <v>117</v>
      </c>
      <c r="G332" s="8" t="s">
        <v>38</v>
      </c>
      <c r="H332" s="8" t="s">
        <v>64</v>
      </c>
      <c r="I332" s="10">
        <v>20.54</v>
      </c>
      <c r="J332" s="10">
        <v>92.09</v>
      </c>
      <c r="K332" s="10">
        <v>4483.57</v>
      </c>
      <c r="L332" s="8" t="s">
        <v>34</v>
      </c>
      <c r="M332" s="8" t="s">
        <v>41</v>
      </c>
      <c r="N332" s="10">
        <v>139.28</v>
      </c>
      <c r="O332" s="10">
        <v>871.3</v>
      </c>
      <c r="P332" s="8" t="s">
        <v>42</v>
      </c>
      <c r="Q332" s="10">
        <v>21.5</v>
      </c>
      <c r="R332" s="10">
        <f xml:space="preserve"> Table1_2[[#This Row],[Yield (Kg/Ha)]]/Table1_2[[#This Row],[Area (Hectares)]]</f>
        <v>218.28481012658227</v>
      </c>
      <c r="S332" s="10">
        <f>Table1_2[[#This Row],[Yield per Acre]]/Table1_2[[#This Row],[Yield (Kg/Ha)]]</f>
        <v>4.8685491723466409E-2</v>
      </c>
      <c r="T332" s="11">
        <f>Table1_2[[#This Row],[Yield per Acre]]/N332</f>
        <v>1.5672372926951628</v>
      </c>
    </row>
    <row r="333" spans="1:20" x14ac:dyDescent="0.3">
      <c r="A333" s="8" t="s">
        <v>398</v>
      </c>
      <c r="B333" s="9">
        <v>2017</v>
      </c>
      <c r="C333" s="9" t="str">
        <f t="shared" si="5"/>
        <v>1905-07</v>
      </c>
      <c r="D333" s="10">
        <v>2017</v>
      </c>
      <c r="E333" s="8" t="s">
        <v>31</v>
      </c>
      <c r="F333" s="8" t="s">
        <v>32</v>
      </c>
      <c r="G333" s="8" t="s">
        <v>38</v>
      </c>
      <c r="H333" s="8" t="s">
        <v>27</v>
      </c>
      <c r="I333" s="10">
        <v>66.28</v>
      </c>
      <c r="J333" s="10">
        <v>342.05</v>
      </c>
      <c r="K333" s="10">
        <v>5160.75</v>
      </c>
      <c r="L333" s="8" t="s">
        <v>40</v>
      </c>
      <c r="M333" s="8" t="s">
        <v>22</v>
      </c>
      <c r="N333" s="10">
        <v>191.39</v>
      </c>
      <c r="O333" s="10">
        <v>564.49</v>
      </c>
      <c r="P333" s="8" t="s">
        <v>70</v>
      </c>
      <c r="Q333" s="10">
        <v>34.380000000000003</v>
      </c>
      <c r="R333" s="10">
        <f xml:space="preserve"> Table1_2[[#This Row],[Yield (Kg/Ha)]]/Table1_2[[#This Row],[Area (Hectares)]]</f>
        <v>77.86285455642728</v>
      </c>
      <c r="S333" s="10">
        <f>Table1_2[[#This Row],[Yield per Acre]]/Table1_2[[#This Row],[Yield (Kg/Ha)]]</f>
        <v>1.5087507543753773E-2</v>
      </c>
      <c r="T333" s="11">
        <f>Table1_2[[#This Row],[Yield per Acre]]/N333</f>
        <v>0.40682822799742557</v>
      </c>
    </row>
    <row r="334" spans="1:20" x14ac:dyDescent="0.3">
      <c r="A334" s="8" t="s">
        <v>399</v>
      </c>
      <c r="B334" s="9">
        <v>2022</v>
      </c>
      <c r="C334" s="9" t="str">
        <f t="shared" si="5"/>
        <v>1905-07</v>
      </c>
      <c r="D334" s="10">
        <v>2022</v>
      </c>
      <c r="E334" s="8" t="s">
        <v>31</v>
      </c>
      <c r="F334" s="8" t="s">
        <v>82</v>
      </c>
      <c r="G334" s="8" t="s">
        <v>33</v>
      </c>
      <c r="H334" s="8" t="s">
        <v>39</v>
      </c>
      <c r="I334" s="10">
        <v>74.239999999999995</v>
      </c>
      <c r="J334" s="10">
        <v>268.51</v>
      </c>
      <c r="K334" s="10">
        <v>3616.74</v>
      </c>
      <c r="L334" s="8" t="s">
        <v>34</v>
      </c>
      <c r="M334" s="8" t="s">
        <v>49</v>
      </c>
      <c r="N334" s="10">
        <v>83.58</v>
      </c>
      <c r="O334" s="10">
        <v>932.97</v>
      </c>
      <c r="P334" s="8" t="s">
        <v>52</v>
      </c>
      <c r="Q334" s="10">
        <v>26.94</v>
      </c>
      <c r="R334" s="10">
        <f xml:space="preserve"> Table1_2[[#This Row],[Yield (Kg/Ha)]]/Table1_2[[#This Row],[Area (Hectares)]]</f>
        <v>48.716864224137929</v>
      </c>
      <c r="S334" s="10">
        <f>Table1_2[[#This Row],[Yield per Acre]]/Table1_2[[#This Row],[Yield (Kg/Ha)]]</f>
        <v>1.3469827586206897E-2</v>
      </c>
      <c r="T334" s="11">
        <f>Table1_2[[#This Row],[Yield per Acre]]/N334</f>
        <v>0.58287705460801542</v>
      </c>
    </row>
    <row r="335" spans="1:20" x14ac:dyDescent="0.3">
      <c r="A335" s="8" t="s">
        <v>400</v>
      </c>
      <c r="B335" s="9">
        <v>2011</v>
      </c>
      <c r="C335" s="9" t="str">
        <f t="shared" si="5"/>
        <v>1905-07</v>
      </c>
      <c r="D335" s="10">
        <v>2011</v>
      </c>
      <c r="E335" s="8" t="s">
        <v>36</v>
      </c>
      <c r="F335" s="8" t="s">
        <v>77</v>
      </c>
      <c r="G335" s="8" t="s">
        <v>33</v>
      </c>
      <c r="H335" s="8" t="s">
        <v>39</v>
      </c>
      <c r="I335" s="10">
        <v>61.06</v>
      </c>
      <c r="J335" s="10">
        <v>369.46</v>
      </c>
      <c r="K335" s="10">
        <v>6050.76</v>
      </c>
      <c r="L335" s="8" t="s">
        <v>40</v>
      </c>
      <c r="M335" s="8" t="s">
        <v>47</v>
      </c>
      <c r="N335" s="10">
        <v>272.82</v>
      </c>
      <c r="O335" s="10">
        <v>396.43</v>
      </c>
      <c r="P335" s="8" t="s">
        <v>23</v>
      </c>
      <c r="Q335" s="10">
        <v>30.91</v>
      </c>
      <c r="R335" s="10">
        <f xml:space="preserve"> Table1_2[[#This Row],[Yield (Kg/Ha)]]/Table1_2[[#This Row],[Area (Hectares)]]</f>
        <v>99.095316082541757</v>
      </c>
      <c r="S335" s="10">
        <f>Table1_2[[#This Row],[Yield per Acre]]/Table1_2[[#This Row],[Yield (Kg/Ha)]]</f>
        <v>1.6377333770062234E-2</v>
      </c>
      <c r="T335" s="11">
        <f>Table1_2[[#This Row],[Yield per Acre]]/N335</f>
        <v>0.36322599546419532</v>
      </c>
    </row>
    <row r="336" spans="1:20" x14ac:dyDescent="0.3">
      <c r="A336" s="8" t="s">
        <v>401</v>
      </c>
      <c r="B336" s="9">
        <v>2019</v>
      </c>
      <c r="C336" s="9" t="str">
        <f t="shared" si="5"/>
        <v>1905-07</v>
      </c>
      <c r="D336" s="10">
        <v>2019</v>
      </c>
      <c r="E336" s="8" t="s">
        <v>17</v>
      </c>
      <c r="F336" s="8" t="s">
        <v>18</v>
      </c>
      <c r="G336" s="8" t="s">
        <v>19</v>
      </c>
      <c r="H336" s="8" t="s">
        <v>46</v>
      </c>
      <c r="I336" s="10">
        <v>77.150000000000006</v>
      </c>
      <c r="J336" s="10">
        <v>175.64</v>
      </c>
      <c r="K336" s="10">
        <v>2276.56</v>
      </c>
      <c r="L336" s="8" t="s">
        <v>21</v>
      </c>
      <c r="M336" s="8" t="s">
        <v>41</v>
      </c>
      <c r="N336" s="10">
        <v>187.9</v>
      </c>
      <c r="O336" s="10">
        <v>743.47</v>
      </c>
      <c r="P336" s="8" t="s">
        <v>61</v>
      </c>
      <c r="Q336" s="10">
        <v>27.08</v>
      </c>
      <c r="R336" s="10">
        <f xml:space="preserve"> Table1_2[[#This Row],[Yield (Kg/Ha)]]/Table1_2[[#This Row],[Area (Hectares)]]</f>
        <v>29.508230719377831</v>
      </c>
      <c r="S336" s="10">
        <f>Table1_2[[#This Row],[Yield per Acre]]/Table1_2[[#This Row],[Yield (Kg/Ha)]]</f>
        <v>1.2961762799740763E-2</v>
      </c>
      <c r="T336" s="11">
        <f>Table1_2[[#This Row],[Yield per Acre]]/N336</f>
        <v>0.15704220712814174</v>
      </c>
    </row>
    <row r="337" spans="1:20" x14ac:dyDescent="0.3">
      <c r="A337" s="8" t="s">
        <v>402</v>
      </c>
      <c r="B337" s="9">
        <v>2013</v>
      </c>
      <c r="C337" s="9" t="str">
        <f t="shared" si="5"/>
        <v>1905-07</v>
      </c>
      <c r="D337" s="10">
        <v>2013</v>
      </c>
      <c r="E337" s="8" t="s">
        <v>31</v>
      </c>
      <c r="F337" s="8" t="s">
        <v>32</v>
      </c>
      <c r="G337" s="8" t="s">
        <v>19</v>
      </c>
      <c r="H337" s="8" t="s">
        <v>39</v>
      </c>
      <c r="I337" s="10">
        <v>85.86</v>
      </c>
      <c r="J337" s="10">
        <v>154.83000000000001</v>
      </c>
      <c r="K337" s="10">
        <v>1803.29</v>
      </c>
      <c r="L337" s="8" t="s">
        <v>21</v>
      </c>
      <c r="M337" s="8" t="s">
        <v>47</v>
      </c>
      <c r="N337" s="10">
        <v>149.19999999999999</v>
      </c>
      <c r="O337" s="10">
        <v>702.17</v>
      </c>
      <c r="P337" s="8" t="s">
        <v>42</v>
      </c>
      <c r="Q337" s="10">
        <v>32.72</v>
      </c>
      <c r="R337" s="10">
        <f xml:space="preserve"> Table1_2[[#This Row],[Yield (Kg/Ha)]]/Table1_2[[#This Row],[Area (Hectares)]]</f>
        <v>21.002678779408338</v>
      </c>
      <c r="S337" s="10">
        <f>Table1_2[[#This Row],[Yield per Acre]]/Table1_2[[#This Row],[Yield (Kg/Ha)]]</f>
        <v>1.1646866992778943E-2</v>
      </c>
      <c r="T337" s="11">
        <f>Table1_2[[#This Row],[Yield per Acre]]/N337</f>
        <v>0.14076862452686556</v>
      </c>
    </row>
    <row r="338" spans="1:20" x14ac:dyDescent="0.3">
      <c r="A338" s="8" t="s">
        <v>403</v>
      </c>
      <c r="B338" s="9">
        <v>2022</v>
      </c>
      <c r="C338" s="9" t="str">
        <f t="shared" si="5"/>
        <v>1905-07</v>
      </c>
      <c r="D338" s="10">
        <v>2022</v>
      </c>
      <c r="E338" s="8" t="s">
        <v>17</v>
      </c>
      <c r="F338" s="8" t="s">
        <v>18</v>
      </c>
      <c r="G338" s="8" t="s">
        <v>19</v>
      </c>
      <c r="H338" s="8" t="s">
        <v>56</v>
      </c>
      <c r="I338" s="10">
        <v>45.18</v>
      </c>
      <c r="J338" s="10">
        <v>93.74</v>
      </c>
      <c r="K338" s="10">
        <v>2074.87</v>
      </c>
      <c r="L338" s="8" t="s">
        <v>40</v>
      </c>
      <c r="M338" s="8" t="s">
        <v>29</v>
      </c>
      <c r="N338" s="10">
        <v>233.98</v>
      </c>
      <c r="O338" s="10">
        <v>683.5</v>
      </c>
      <c r="P338" s="8" t="s">
        <v>70</v>
      </c>
      <c r="Q338" s="10">
        <v>20.61</v>
      </c>
      <c r="R338" s="10">
        <f xml:space="preserve"> Table1_2[[#This Row],[Yield (Kg/Ha)]]/Table1_2[[#This Row],[Area (Hectares)]]</f>
        <v>45.924524125719344</v>
      </c>
      <c r="S338" s="10">
        <f>Table1_2[[#This Row],[Yield per Acre]]/Table1_2[[#This Row],[Yield (Kg/Ha)]]</f>
        <v>2.2133687472332891E-2</v>
      </c>
      <c r="T338" s="11">
        <f>Table1_2[[#This Row],[Yield per Acre]]/N338</f>
        <v>0.19627542578732945</v>
      </c>
    </row>
    <row r="339" spans="1:20" x14ac:dyDescent="0.3">
      <c r="A339" s="8" t="s">
        <v>404</v>
      </c>
      <c r="B339" s="9">
        <v>2015</v>
      </c>
      <c r="C339" s="9" t="str">
        <f t="shared" si="5"/>
        <v>1905-07</v>
      </c>
      <c r="D339" s="10">
        <v>2014</v>
      </c>
      <c r="E339" s="8" t="s">
        <v>103</v>
      </c>
      <c r="F339" s="8" t="s">
        <v>104</v>
      </c>
      <c r="G339" s="8" t="s">
        <v>38</v>
      </c>
      <c r="H339" s="8" t="s">
        <v>56</v>
      </c>
      <c r="I339" s="10">
        <v>5.24</v>
      </c>
      <c r="J339" s="10">
        <v>11.74</v>
      </c>
      <c r="K339" s="10">
        <v>2240.64</v>
      </c>
      <c r="L339" s="8" t="s">
        <v>34</v>
      </c>
      <c r="M339" s="8" t="s">
        <v>22</v>
      </c>
      <c r="N339" s="10">
        <v>147.02000000000001</v>
      </c>
      <c r="O339" s="10">
        <v>1117.9000000000001</v>
      </c>
      <c r="P339" s="8" t="s">
        <v>23</v>
      </c>
      <c r="Q339" s="10">
        <v>20.6</v>
      </c>
      <c r="R339" s="10">
        <f xml:space="preserve"> Table1_2[[#This Row],[Yield (Kg/Ha)]]/Table1_2[[#This Row],[Area (Hectares)]]</f>
        <v>427.60305343511448</v>
      </c>
      <c r="S339" s="10">
        <f>Table1_2[[#This Row],[Yield per Acre]]/Table1_2[[#This Row],[Yield (Kg/Ha)]]</f>
        <v>0.19083969465648853</v>
      </c>
      <c r="T339" s="11">
        <f>Table1_2[[#This Row],[Yield per Acre]]/N339</f>
        <v>2.9084685990689323</v>
      </c>
    </row>
    <row r="340" spans="1:20" x14ac:dyDescent="0.3">
      <c r="A340" s="8" t="s">
        <v>405</v>
      </c>
      <c r="B340" s="9">
        <v>2020</v>
      </c>
      <c r="C340" s="9" t="str">
        <f t="shared" si="5"/>
        <v>1905-07</v>
      </c>
      <c r="D340" s="10">
        <v>2020</v>
      </c>
      <c r="E340" s="8" t="s">
        <v>17</v>
      </c>
      <c r="F340" s="8" t="s">
        <v>54</v>
      </c>
      <c r="G340" s="8" t="s">
        <v>38</v>
      </c>
      <c r="H340" s="8" t="s">
        <v>39</v>
      </c>
      <c r="I340" s="10">
        <v>27.07</v>
      </c>
      <c r="J340" s="10">
        <v>115.48</v>
      </c>
      <c r="K340" s="10">
        <v>4266.1000000000004</v>
      </c>
      <c r="L340" s="8" t="s">
        <v>40</v>
      </c>
      <c r="M340" s="8" t="s">
        <v>47</v>
      </c>
      <c r="N340" s="10">
        <v>144.16</v>
      </c>
      <c r="O340" s="10">
        <v>578.52</v>
      </c>
      <c r="P340" s="8" t="s">
        <v>61</v>
      </c>
      <c r="Q340" s="10">
        <v>29.8</v>
      </c>
      <c r="R340" s="10">
        <f xml:space="preserve"> Table1_2[[#This Row],[Yield (Kg/Ha)]]/Table1_2[[#This Row],[Area (Hectares)]]</f>
        <v>157.59512375323237</v>
      </c>
      <c r="S340" s="10">
        <f>Table1_2[[#This Row],[Yield per Acre]]/Table1_2[[#This Row],[Yield (Kg/Ha)]]</f>
        <v>3.6941263391207978E-2</v>
      </c>
      <c r="T340" s="11">
        <f>Table1_2[[#This Row],[Yield per Acre]]/N340</f>
        <v>1.0931959194869061</v>
      </c>
    </row>
    <row r="341" spans="1:20" x14ac:dyDescent="0.3">
      <c r="A341" s="8" t="s">
        <v>406</v>
      </c>
      <c r="B341" s="9">
        <v>2013</v>
      </c>
      <c r="C341" s="9" t="str">
        <f t="shared" si="5"/>
        <v>1905-07</v>
      </c>
      <c r="D341" s="10">
        <v>2013</v>
      </c>
      <c r="E341" s="8" t="s">
        <v>31</v>
      </c>
      <c r="F341" s="8" t="s">
        <v>32</v>
      </c>
      <c r="G341" s="8" t="s">
        <v>19</v>
      </c>
      <c r="H341" s="8" t="s">
        <v>46</v>
      </c>
      <c r="I341" s="10">
        <v>35.94</v>
      </c>
      <c r="J341" s="10">
        <v>223.06</v>
      </c>
      <c r="K341" s="10">
        <v>6206.32</v>
      </c>
      <c r="L341" s="8" t="s">
        <v>28</v>
      </c>
      <c r="M341" s="8" t="s">
        <v>29</v>
      </c>
      <c r="N341" s="10">
        <v>248.16</v>
      </c>
      <c r="O341" s="10">
        <v>1087.17</v>
      </c>
      <c r="P341" s="8" t="s">
        <v>23</v>
      </c>
      <c r="Q341" s="10">
        <v>27.53</v>
      </c>
      <c r="R341" s="10">
        <f xml:space="preserve"> Table1_2[[#This Row],[Yield (Kg/Ha)]]/Table1_2[[#This Row],[Area (Hectares)]]</f>
        <v>172.68558708959378</v>
      </c>
      <c r="S341" s="10">
        <f>Table1_2[[#This Row],[Yield per Acre]]/Table1_2[[#This Row],[Yield (Kg/Ha)]]</f>
        <v>2.7824151363383419E-2</v>
      </c>
      <c r="T341" s="11">
        <f>Table1_2[[#This Row],[Yield per Acre]]/N341</f>
        <v>0.69586390671177378</v>
      </c>
    </row>
    <row r="342" spans="1:20" x14ac:dyDescent="0.3">
      <c r="A342" s="8" t="s">
        <v>407</v>
      </c>
      <c r="B342" s="9">
        <v>2011</v>
      </c>
      <c r="C342" s="9" t="str">
        <f t="shared" si="5"/>
        <v>1905-07</v>
      </c>
      <c r="D342" s="10">
        <v>2011</v>
      </c>
      <c r="E342" s="8" t="s">
        <v>103</v>
      </c>
      <c r="F342" s="8" t="s">
        <v>104</v>
      </c>
      <c r="G342" s="8" t="s">
        <v>19</v>
      </c>
      <c r="H342" s="8" t="s">
        <v>39</v>
      </c>
      <c r="I342" s="10">
        <v>28.8</v>
      </c>
      <c r="J342" s="10">
        <v>54.76</v>
      </c>
      <c r="K342" s="10">
        <v>1901.44</v>
      </c>
      <c r="L342" s="8" t="s">
        <v>40</v>
      </c>
      <c r="M342" s="8" t="s">
        <v>49</v>
      </c>
      <c r="N342" s="10">
        <v>140.56</v>
      </c>
      <c r="O342" s="10">
        <v>917.3</v>
      </c>
      <c r="P342" s="8" t="s">
        <v>23</v>
      </c>
      <c r="Q342" s="10">
        <v>29.92</v>
      </c>
      <c r="R342" s="10">
        <f xml:space="preserve"> Table1_2[[#This Row],[Yield (Kg/Ha)]]/Table1_2[[#This Row],[Area (Hectares)]]</f>
        <v>66.022222222222226</v>
      </c>
      <c r="S342" s="10">
        <f>Table1_2[[#This Row],[Yield per Acre]]/Table1_2[[#This Row],[Yield (Kg/Ha)]]</f>
        <v>3.4722222222222224E-2</v>
      </c>
      <c r="T342" s="11">
        <f>Table1_2[[#This Row],[Yield per Acre]]/N342</f>
        <v>0.46970846771643587</v>
      </c>
    </row>
    <row r="343" spans="1:20" x14ac:dyDescent="0.3">
      <c r="A343" s="8" t="s">
        <v>408</v>
      </c>
      <c r="B343" s="9">
        <v>2017</v>
      </c>
      <c r="C343" s="9" t="str">
        <f t="shared" si="5"/>
        <v>1905-07</v>
      </c>
      <c r="D343" s="10">
        <v>2017</v>
      </c>
      <c r="E343" s="8" t="s">
        <v>17</v>
      </c>
      <c r="F343" s="8" t="s">
        <v>18</v>
      </c>
      <c r="G343" s="8" t="s">
        <v>19</v>
      </c>
      <c r="H343" s="8" t="s">
        <v>46</v>
      </c>
      <c r="I343" s="10">
        <v>48.42</v>
      </c>
      <c r="J343" s="10">
        <v>220.06</v>
      </c>
      <c r="K343" s="10">
        <v>4544.75</v>
      </c>
      <c r="L343" s="8" t="s">
        <v>28</v>
      </c>
      <c r="M343" s="8" t="s">
        <v>47</v>
      </c>
      <c r="N343" s="10">
        <v>55.61</v>
      </c>
      <c r="O343" s="10">
        <v>243.14</v>
      </c>
      <c r="P343" s="8" t="s">
        <v>61</v>
      </c>
      <c r="Q343" s="10">
        <v>28.89</v>
      </c>
      <c r="R343" s="10">
        <f xml:space="preserve"> Table1_2[[#This Row],[Yield (Kg/Ha)]]/Table1_2[[#This Row],[Area (Hectares)]]</f>
        <v>93.861007847996689</v>
      </c>
      <c r="S343" s="10">
        <f>Table1_2[[#This Row],[Yield per Acre]]/Table1_2[[#This Row],[Yield (Kg/Ha)]]</f>
        <v>2.0652622883106153E-2</v>
      </c>
      <c r="T343" s="11">
        <f>Table1_2[[#This Row],[Yield per Acre]]/N343</f>
        <v>1.6878440540909314</v>
      </c>
    </row>
    <row r="344" spans="1:20" x14ac:dyDescent="0.3">
      <c r="A344" s="8" t="s">
        <v>409</v>
      </c>
      <c r="B344" s="9">
        <v>2012</v>
      </c>
      <c r="C344" s="9" t="str">
        <f t="shared" si="5"/>
        <v>1905-07</v>
      </c>
      <c r="D344" s="10">
        <v>2012</v>
      </c>
      <c r="E344" s="8" t="s">
        <v>25</v>
      </c>
      <c r="F344" s="8" t="s">
        <v>69</v>
      </c>
      <c r="G344" s="8" t="s">
        <v>33</v>
      </c>
      <c r="H344" s="8" t="s">
        <v>56</v>
      </c>
      <c r="I344" s="10">
        <v>26.57</v>
      </c>
      <c r="J344" s="10">
        <v>55.27</v>
      </c>
      <c r="K344" s="10">
        <v>2080.23</v>
      </c>
      <c r="L344" s="8" t="s">
        <v>28</v>
      </c>
      <c r="M344" s="8" t="s">
        <v>22</v>
      </c>
      <c r="N344" s="10">
        <v>199.84</v>
      </c>
      <c r="O344" s="10">
        <v>763.6</v>
      </c>
      <c r="P344" s="8" t="s">
        <v>23</v>
      </c>
      <c r="Q344" s="10">
        <v>33.18</v>
      </c>
      <c r="R344" s="10">
        <f xml:space="preserve"> Table1_2[[#This Row],[Yield (Kg/Ha)]]/Table1_2[[#This Row],[Area (Hectares)]]</f>
        <v>78.292435077154693</v>
      </c>
      <c r="S344" s="10">
        <f>Table1_2[[#This Row],[Yield per Acre]]/Table1_2[[#This Row],[Yield (Kg/Ha)]]</f>
        <v>3.7636432066240122E-2</v>
      </c>
      <c r="T344" s="11">
        <f>Table1_2[[#This Row],[Yield per Acre]]/N344</f>
        <v>0.39177559586246341</v>
      </c>
    </row>
    <row r="345" spans="1:20" x14ac:dyDescent="0.3">
      <c r="A345" s="8" t="s">
        <v>410</v>
      </c>
      <c r="B345" s="9">
        <v>2020</v>
      </c>
      <c r="C345" s="9" t="str">
        <f t="shared" si="5"/>
        <v>1905-07</v>
      </c>
      <c r="D345" s="10">
        <v>2019</v>
      </c>
      <c r="E345" s="8" t="s">
        <v>103</v>
      </c>
      <c r="F345" s="8" t="s">
        <v>107</v>
      </c>
      <c r="G345" s="8" t="s">
        <v>38</v>
      </c>
      <c r="H345" s="8" t="s">
        <v>46</v>
      </c>
      <c r="I345" s="10">
        <v>17.89</v>
      </c>
      <c r="J345" s="10">
        <v>107.02</v>
      </c>
      <c r="K345" s="10">
        <v>5982.18</v>
      </c>
      <c r="L345" s="8" t="s">
        <v>40</v>
      </c>
      <c r="M345" s="8" t="s">
        <v>49</v>
      </c>
      <c r="N345" s="10">
        <v>248.65</v>
      </c>
      <c r="O345" s="10">
        <v>1020.45</v>
      </c>
      <c r="P345" s="8" t="s">
        <v>42</v>
      </c>
      <c r="Q345" s="10">
        <v>29.35</v>
      </c>
      <c r="R345" s="10">
        <f xml:space="preserve"> Table1_2[[#This Row],[Yield (Kg/Ha)]]/Table1_2[[#This Row],[Area (Hectares)]]</f>
        <v>334.38680827277807</v>
      </c>
      <c r="S345" s="10">
        <f>Table1_2[[#This Row],[Yield per Acre]]/Table1_2[[#This Row],[Yield (Kg/Ha)]]</f>
        <v>5.5897149245388481E-2</v>
      </c>
      <c r="T345" s="11">
        <f>Table1_2[[#This Row],[Yield per Acre]]/N345</f>
        <v>1.3448092027861576</v>
      </c>
    </row>
    <row r="346" spans="1:20" x14ac:dyDescent="0.3">
      <c r="A346" s="8" t="s">
        <v>411</v>
      </c>
      <c r="B346" s="9">
        <v>2021</v>
      </c>
      <c r="C346" s="9" t="str">
        <f t="shared" si="5"/>
        <v>1905-07</v>
      </c>
      <c r="D346" s="10">
        <v>2020</v>
      </c>
      <c r="E346" s="8" t="s">
        <v>103</v>
      </c>
      <c r="F346" s="8" t="s">
        <v>228</v>
      </c>
      <c r="G346" s="8" t="s">
        <v>38</v>
      </c>
      <c r="H346" s="8" t="s">
        <v>46</v>
      </c>
      <c r="I346" s="10">
        <v>60.06</v>
      </c>
      <c r="J346" s="10">
        <v>84.87</v>
      </c>
      <c r="K346" s="10">
        <v>1413.06</v>
      </c>
      <c r="L346" s="8" t="s">
        <v>28</v>
      </c>
      <c r="M346" s="8" t="s">
        <v>29</v>
      </c>
      <c r="N346" s="10">
        <v>146.37</v>
      </c>
      <c r="O346" s="10">
        <v>308.57</v>
      </c>
      <c r="P346" s="8" t="s">
        <v>42</v>
      </c>
      <c r="Q346" s="10">
        <v>27.84</v>
      </c>
      <c r="R346" s="10">
        <f xml:space="preserve"> Table1_2[[#This Row],[Yield (Kg/Ha)]]/Table1_2[[#This Row],[Area (Hectares)]]</f>
        <v>23.527472527472526</v>
      </c>
      <c r="S346" s="10">
        <f>Table1_2[[#This Row],[Yield per Acre]]/Table1_2[[#This Row],[Yield (Kg/Ha)]]</f>
        <v>1.6650016650016648E-2</v>
      </c>
      <c r="T346" s="11">
        <f>Table1_2[[#This Row],[Yield per Acre]]/N346</f>
        <v>0.16073971802604717</v>
      </c>
    </row>
    <row r="347" spans="1:20" x14ac:dyDescent="0.3">
      <c r="A347" s="8" t="s">
        <v>412</v>
      </c>
      <c r="B347" s="9">
        <v>2019</v>
      </c>
      <c r="C347" s="9" t="str">
        <f t="shared" si="5"/>
        <v>1905-07</v>
      </c>
      <c r="D347" s="10">
        <v>2019</v>
      </c>
      <c r="E347" s="8" t="s">
        <v>44</v>
      </c>
      <c r="F347" s="8" t="s">
        <v>45</v>
      </c>
      <c r="G347" s="8" t="s">
        <v>33</v>
      </c>
      <c r="H347" s="8" t="s">
        <v>56</v>
      </c>
      <c r="I347" s="10">
        <v>48.11</v>
      </c>
      <c r="J347" s="10">
        <v>225.56</v>
      </c>
      <c r="K347" s="10">
        <v>4688.49</v>
      </c>
      <c r="L347" s="8" t="s">
        <v>21</v>
      </c>
      <c r="M347" s="8" t="s">
        <v>47</v>
      </c>
      <c r="N347" s="10">
        <v>269.44</v>
      </c>
      <c r="O347" s="10">
        <v>731.43</v>
      </c>
      <c r="P347" s="8" t="s">
        <v>23</v>
      </c>
      <c r="Q347" s="10">
        <v>21.4</v>
      </c>
      <c r="R347" s="10">
        <f xml:space="preserve"> Table1_2[[#This Row],[Yield (Kg/Ha)]]/Table1_2[[#This Row],[Area (Hectares)]]</f>
        <v>97.453543961754306</v>
      </c>
      <c r="S347" s="10">
        <f>Table1_2[[#This Row],[Yield per Acre]]/Table1_2[[#This Row],[Yield (Kg/Ha)]]</f>
        <v>2.0785699438786116E-2</v>
      </c>
      <c r="T347" s="11">
        <f>Table1_2[[#This Row],[Yield per Acre]]/N347</f>
        <v>0.36168922194831615</v>
      </c>
    </row>
    <row r="348" spans="1:20" x14ac:dyDescent="0.3">
      <c r="A348" s="8" t="s">
        <v>413</v>
      </c>
      <c r="B348" s="9">
        <v>2022</v>
      </c>
      <c r="C348" s="9" t="str">
        <f t="shared" si="5"/>
        <v>1905-07</v>
      </c>
      <c r="D348" s="10">
        <v>2022</v>
      </c>
      <c r="E348" s="8" t="s">
        <v>59</v>
      </c>
      <c r="F348" s="8" t="s">
        <v>60</v>
      </c>
      <c r="G348" s="8" t="s">
        <v>19</v>
      </c>
      <c r="H348" s="8" t="s">
        <v>39</v>
      </c>
      <c r="I348" s="10">
        <v>43.72</v>
      </c>
      <c r="J348" s="10">
        <v>154.07</v>
      </c>
      <c r="K348" s="10">
        <v>3524.1</v>
      </c>
      <c r="L348" s="8" t="s">
        <v>21</v>
      </c>
      <c r="M348" s="8" t="s">
        <v>49</v>
      </c>
      <c r="N348" s="10">
        <v>224.41</v>
      </c>
      <c r="O348" s="10">
        <v>628.96</v>
      </c>
      <c r="P348" s="8" t="s">
        <v>52</v>
      </c>
      <c r="Q348" s="10">
        <v>31.84</v>
      </c>
      <c r="R348" s="10">
        <f xml:space="preserve"> Table1_2[[#This Row],[Yield (Kg/Ha)]]/Table1_2[[#This Row],[Area (Hectares)]]</f>
        <v>80.606129917657825</v>
      </c>
      <c r="S348" s="10">
        <f>Table1_2[[#This Row],[Yield per Acre]]/Table1_2[[#This Row],[Yield (Kg/Ha)]]</f>
        <v>2.2872827081427266E-2</v>
      </c>
      <c r="T348" s="11">
        <f>Table1_2[[#This Row],[Yield per Acre]]/N348</f>
        <v>0.3591913458297662</v>
      </c>
    </row>
    <row r="349" spans="1:20" x14ac:dyDescent="0.3">
      <c r="A349" s="8" t="s">
        <v>414</v>
      </c>
      <c r="B349" s="9">
        <v>2022</v>
      </c>
      <c r="C349" s="9" t="str">
        <f t="shared" si="5"/>
        <v>1905-07</v>
      </c>
      <c r="D349" s="10">
        <v>2022</v>
      </c>
      <c r="E349" s="8" t="s">
        <v>59</v>
      </c>
      <c r="F349" s="8" t="s">
        <v>93</v>
      </c>
      <c r="G349" s="8" t="s">
        <v>19</v>
      </c>
      <c r="H349" s="8" t="s">
        <v>27</v>
      </c>
      <c r="I349" s="10">
        <v>10.67</v>
      </c>
      <c r="J349" s="10">
        <v>19.239999999999998</v>
      </c>
      <c r="K349" s="10">
        <v>1803.3</v>
      </c>
      <c r="L349" s="8" t="s">
        <v>28</v>
      </c>
      <c r="M349" s="8" t="s">
        <v>47</v>
      </c>
      <c r="N349" s="10">
        <v>241.46</v>
      </c>
      <c r="O349" s="10">
        <v>1110.0899999999999</v>
      </c>
      <c r="P349" s="8" t="s">
        <v>23</v>
      </c>
      <c r="Q349" s="10">
        <v>24.25</v>
      </c>
      <c r="R349" s="10">
        <f xml:space="preserve"> Table1_2[[#This Row],[Yield (Kg/Ha)]]/Table1_2[[#This Row],[Area (Hectares)]]</f>
        <v>169.00656044985942</v>
      </c>
      <c r="S349" s="10">
        <f>Table1_2[[#This Row],[Yield per Acre]]/Table1_2[[#This Row],[Yield (Kg/Ha)]]</f>
        <v>9.3720712277413312E-2</v>
      </c>
      <c r="T349" s="11">
        <f>Table1_2[[#This Row],[Yield per Acre]]/N349</f>
        <v>0.69993605752447363</v>
      </c>
    </row>
    <row r="350" spans="1:20" x14ac:dyDescent="0.3">
      <c r="A350" s="8" t="s">
        <v>415</v>
      </c>
      <c r="B350" s="9">
        <v>2013</v>
      </c>
      <c r="C350" s="9" t="str">
        <f t="shared" si="5"/>
        <v>1905-07</v>
      </c>
      <c r="D350" s="10">
        <v>2013</v>
      </c>
      <c r="E350" s="8" t="s">
        <v>36</v>
      </c>
      <c r="F350" s="8" t="s">
        <v>51</v>
      </c>
      <c r="G350" s="8" t="s">
        <v>33</v>
      </c>
      <c r="H350" s="8" t="s">
        <v>39</v>
      </c>
      <c r="I350" s="10">
        <v>74.62</v>
      </c>
      <c r="J350" s="10">
        <v>77.8</v>
      </c>
      <c r="K350" s="10">
        <v>1042.68</v>
      </c>
      <c r="L350" s="8" t="s">
        <v>21</v>
      </c>
      <c r="M350" s="8" t="s">
        <v>29</v>
      </c>
      <c r="N350" s="10">
        <v>179.94</v>
      </c>
      <c r="O350" s="10">
        <v>575.03</v>
      </c>
      <c r="P350" s="8" t="s">
        <v>42</v>
      </c>
      <c r="Q350" s="10">
        <v>30.32</v>
      </c>
      <c r="R350" s="10">
        <f xml:space="preserve"> Table1_2[[#This Row],[Yield (Kg/Ha)]]/Table1_2[[#This Row],[Area (Hectares)]]</f>
        <v>13.973197534173144</v>
      </c>
      <c r="S350" s="10">
        <f>Table1_2[[#This Row],[Yield per Acre]]/Table1_2[[#This Row],[Yield (Kg/Ha)]]</f>
        <v>1.3401232913428034E-2</v>
      </c>
      <c r="T350" s="11">
        <f>Table1_2[[#This Row],[Yield per Acre]]/N350</f>
        <v>7.7654760109887436E-2</v>
      </c>
    </row>
    <row r="351" spans="1:20" x14ac:dyDescent="0.3">
      <c r="A351" s="8" t="s">
        <v>416</v>
      </c>
      <c r="B351" s="9">
        <v>2013</v>
      </c>
      <c r="C351" s="9" t="str">
        <f t="shared" si="5"/>
        <v>1905-07</v>
      </c>
      <c r="D351" s="10">
        <v>2012</v>
      </c>
      <c r="E351" s="8" t="s">
        <v>31</v>
      </c>
      <c r="F351" s="8" t="s">
        <v>82</v>
      </c>
      <c r="G351" s="8" t="s">
        <v>38</v>
      </c>
      <c r="H351" s="8" t="s">
        <v>39</v>
      </c>
      <c r="I351" s="10">
        <v>58.95</v>
      </c>
      <c r="J351" s="10">
        <v>151.37</v>
      </c>
      <c r="K351" s="10">
        <v>2567.8200000000002</v>
      </c>
      <c r="L351" s="8" t="s">
        <v>28</v>
      </c>
      <c r="M351" s="8" t="s">
        <v>47</v>
      </c>
      <c r="N351" s="10">
        <v>191.17</v>
      </c>
      <c r="O351" s="10">
        <v>811.88</v>
      </c>
      <c r="P351" s="8" t="s">
        <v>52</v>
      </c>
      <c r="Q351" s="10">
        <v>31.32</v>
      </c>
      <c r="R351" s="10">
        <f xml:space="preserve"> Table1_2[[#This Row],[Yield (Kg/Ha)]]/Table1_2[[#This Row],[Area (Hectares)]]</f>
        <v>43.559287531806618</v>
      </c>
      <c r="S351" s="10">
        <f>Table1_2[[#This Row],[Yield per Acre]]/Table1_2[[#This Row],[Yield (Kg/Ha)]]</f>
        <v>1.6963528413910092E-2</v>
      </c>
      <c r="T351" s="11">
        <f>Table1_2[[#This Row],[Yield per Acre]]/N351</f>
        <v>0.22785629299475138</v>
      </c>
    </row>
    <row r="352" spans="1:20" x14ac:dyDescent="0.3">
      <c r="A352" s="8" t="s">
        <v>417</v>
      </c>
      <c r="B352" s="9">
        <v>2017</v>
      </c>
      <c r="C352" s="9" t="str">
        <f t="shared" si="5"/>
        <v>1905-07</v>
      </c>
      <c r="D352" s="10">
        <v>2017</v>
      </c>
      <c r="E352" s="8" t="s">
        <v>44</v>
      </c>
      <c r="F352" s="8" t="s">
        <v>67</v>
      </c>
      <c r="G352" s="8" t="s">
        <v>33</v>
      </c>
      <c r="H352" s="8" t="s">
        <v>20</v>
      </c>
      <c r="I352" s="10">
        <v>56.35</v>
      </c>
      <c r="J352" s="10">
        <v>219.91</v>
      </c>
      <c r="K352" s="10">
        <v>3902.56</v>
      </c>
      <c r="L352" s="8" t="s">
        <v>34</v>
      </c>
      <c r="M352" s="8" t="s">
        <v>41</v>
      </c>
      <c r="N352" s="10">
        <v>194.41</v>
      </c>
      <c r="O352" s="10">
        <v>974.19</v>
      </c>
      <c r="P352" s="8" t="s">
        <v>52</v>
      </c>
      <c r="Q352" s="10">
        <v>31.04</v>
      </c>
      <c r="R352" s="10">
        <f xml:space="preserve"> Table1_2[[#This Row],[Yield (Kg/Ha)]]/Table1_2[[#This Row],[Area (Hectares)]]</f>
        <v>69.255723158828744</v>
      </c>
      <c r="S352" s="10">
        <f>Table1_2[[#This Row],[Yield per Acre]]/Table1_2[[#This Row],[Yield (Kg/Ha)]]</f>
        <v>1.774622892635315E-2</v>
      </c>
      <c r="T352" s="11">
        <f>Table1_2[[#This Row],[Yield per Acre]]/N352</f>
        <v>0.35623539508682034</v>
      </c>
    </row>
    <row r="353" spans="1:20" x14ac:dyDescent="0.3">
      <c r="A353" s="8" t="s">
        <v>418</v>
      </c>
      <c r="B353" s="9">
        <v>2012</v>
      </c>
      <c r="C353" s="9" t="str">
        <f t="shared" si="5"/>
        <v>1905-07</v>
      </c>
      <c r="D353" s="10">
        <v>2012</v>
      </c>
      <c r="E353" s="8" t="s">
        <v>36</v>
      </c>
      <c r="F353" s="8" t="s">
        <v>77</v>
      </c>
      <c r="G353" s="8" t="s">
        <v>33</v>
      </c>
      <c r="H353" s="8" t="s">
        <v>56</v>
      </c>
      <c r="I353" s="10">
        <v>51.33</v>
      </c>
      <c r="J353" s="10">
        <v>293.43</v>
      </c>
      <c r="K353" s="10">
        <v>5716.49</v>
      </c>
      <c r="L353" s="8" t="s">
        <v>21</v>
      </c>
      <c r="M353" s="8" t="s">
        <v>29</v>
      </c>
      <c r="N353" s="10">
        <v>90.18</v>
      </c>
      <c r="O353" s="10">
        <v>1164.57</v>
      </c>
      <c r="P353" s="8" t="s">
        <v>23</v>
      </c>
      <c r="Q353" s="10">
        <v>32.07</v>
      </c>
      <c r="R353" s="10">
        <f xml:space="preserve"> Table1_2[[#This Row],[Yield (Kg/Ha)]]/Table1_2[[#This Row],[Area (Hectares)]]</f>
        <v>111.36742645626339</v>
      </c>
      <c r="S353" s="10">
        <f>Table1_2[[#This Row],[Yield per Acre]]/Table1_2[[#This Row],[Yield (Kg/Ha)]]</f>
        <v>1.948178453146308E-2</v>
      </c>
      <c r="T353" s="11">
        <f>Table1_2[[#This Row],[Yield per Acre]]/N353</f>
        <v>1.23494595759884</v>
      </c>
    </row>
    <row r="354" spans="1:20" x14ac:dyDescent="0.3">
      <c r="A354" s="8" t="s">
        <v>419</v>
      </c>
      <c r="B354" s="9">
        <v>2011</v>
      </c>
      <c r="C354" s="9" t="str">
        <f t="shared" si="5"/>
        <v>1905-07</v>
      </c>
      <c r="D354" s="10">
        <v>2011</v>
      </c>
      <c r="E354" s="8" t="s">
        <v>59</v>
      </c>
      <c r="F354" s="8" t="s">
        <v>63</v>
      </c>
      <c r="G354" s="8" t="s">
        <v>33</v>
      </c>
      <c r="H354" s="8" t="s">
        <v>20</v>
      </c>
      <c r="I354" s="10">
        <v>22.96</v>
      </c>
      <c r="J354" s="10">
        <v>33.99</v>
      </c>
      <c r="K354" s="10">
        <v>1480.24</v>
      </c>
      <c r="L354" s="8" t="s">
        <v>21</v>
      </c>
      <c r="M354" s="8" t="s">
        <v>49</v>
      </c>
      <c r="N354" s="10">
        <v>231.12</v>
      </c>
      <c r="O354" s="10">
        <v>1130.68</v>
      </c>
      <c r="P354" s="8" t="s">
        <v>52</v>
      </c>
      <c r="Q354" s="10">
        <v>29.21</v>
      </c>
      <c r="R354" s="10">
        <f xml:space="preserve"> Table1_2[[#This Row],[Yield (Kg/Ha)]]/Table1_2[[#This Row],[Area (Hectares)]]</f>
        <v>64.470383275261327</v>
      </c>
      <c r="S354" s="10">
        <f>Table1_2[[#This Row],[Yield per Acre]]/Table1_2[[#This Row],[Yield (Kg/Ha)]]</f>
        <v>4.3554006968641118E-2</v>
      </c>
      <c r="T354" s="11">
        <f>Table1_2[[#This Row],[Yield per Acre]]/N354</f>
        <v>0.27894766041563396</v>
      </c>
    </row>
    <row r="355" spans="1:20" x14ac:dyDescent="0.3">
      <c r="A355" s="8" t="s">
        <v>420</v>
      </c>
      <c r="B355" s="9">
        <v>2010</v>
      </c>
      <c r="C355" s="9" t="str">
        <f t="shared" si="5"/>
        <v>1905-07</v>
      </c>
      <c r="D355" s="10">
        <v>2010</v>
      </c>
      <c r="E355" s="8" t="s">
        <v>17</v>
      </c>
      <c r="F355" s="8" t="s">
        <v>54</v>
      </c>
      <c r="G355" s="8" t="s">
        <v>33</v>
      </c>
      <c r="H355" s="8" t="s">
        <v>39</v>
      </c>
      <c r="I355" s="10">
        <v>49.94</v>
      </c>
      <c r="J355" s="10">
        <v>53.15</v>
      </c>
      <c r="K355" s="10">
        <v>1064.26</v>
      </c>
      <c r="L355" s="8" t="s">
        <v>34</v>
      </c>
      <c r="M355" s="8" t="s">
        <v>47</v>
      </c>
      <c r="N355" s="10">
        <v>98.69</v>
      </c>
      <c r="O355" s="10">
        <v>983.96</v>
      </c>
      <c r="P355" s="8" t="s">
        <v>61</v>
      </c>
      <c r="Q355" s="10">
        <v>27.74</v>
      </c>
      <c r="R355" s="10">
        <f xml:space="preserve"> Table1_2[[#This Row],[Yield (Kg/Ha)]]/Table1_2[[#This Row],[Area (Hectares)]]</f>
        <v>21.310772927513018</v>
      </c>
      <c r="S355" s="10">
        <f>Table1_2[[#This Row],[Yield per Acre]]/Table1_2[[#This Row],[Yield (Kg/Ha)]]</f>
        <v>2.0024028834601523E-2</v>
      </c>
      <c r="T355" s="11">
        <f>Table1_2[[#This Row],[Yield per Acre]]/N355</f>
        <v>0.21593649739095164</v>
      </c>
    </row>
    <row r="356" spans="1:20" x14ac:dyDescent="0.3">
      <c r="A356" s="8" t="s">
        <v>421</v>
      </c>
      <c r="B356" s="9">
        <v>2011</v>
      </c>
      <c r="C356" s="9" t="str">
        <f t="shared" si="5"/>
        <v>1905-07</v>
      </c>
      <c r="D356" s="10">
        <v>2010</v>
      </c>
      <c r="E356" s="8" t="s">
        <v>103</v>
      </c>
      <c r="F356" s="8" t="s">
        <v>228</v>
      </c>
      <c r="G356" s="8" t="s">
        <v>38</v>
      </c>
      <c r="H356" s="8" t="s">
        <v>56</v>
      </c>
      <c r="I356" s="10">
        <v>65.849999999999994</v>
      </c>
      <c r="J356" s="10">
        <v>451.33</v>
      </c>
      <c r="K356" s="10">
        <v>6853.88</v>
      </c>
      <c r="L356" s="8" t="s">
        <v>21</v>
      </c>
      <c r="M356" s="8" t="s">
        <v>47</v>
      </c>
      <c r="N356" s="10">
        <v>299.2</v>
      </c>
      <c r="O356" s="10">
        <v>979.67</v>
      </c>
      <c r="P356" s="8" t="s">
        <v>70</v>
      </c>
      <c r="Q356" s="10">
        <v>30.04</v>
      </c>
      <c r="R356" s="10">
        <f xml:space="preserve"> Table1_2[[#This Row],[Yield (Kg/Ha)]]/Table1_2[[#This Row],[Area (Hectares)]]</f>
        <v>104.08321943811694</v>
      </c>
      <c r="S356" s="10">
        <f>Table1_2[[#This Row],[Yield per Acre]]/Table1_2[[#This Row],[Yield (Kg/Ha)]]</f>
        <v>1.5186028853454823E-2</v>
      </c>
      <c r="T356" s="11">
        <f>Table1_2[[#This Row],[Yield per Acre]]/N356</f>
        <v>0.3478717227209791</v>
      </c>
    </row>
    <row r="357" spans="1:20" x14ac:dyDescent="0.3">
      <c r="A357" s="8" t="s">
        <v>422</v>
      </c>
      <c r="B357" s="9">
        <v>2010</v>
      </c>
      <c r="C357" s="9" t="str">
        <f t="shared" si="5"/>
        <v>1905-07</v>
      </c>
      <c r="D357" s="10">
        <v>2010</v>
      </c>
      <c r="E357" s="8" t="s">
        <v>103</v>
      </c>
      <c r="F357" s="8" t="s">
        <v>228</v>
      </c>
      <c r="G357" s="8" t="s">
        <v>19</v>
      </c>
      <c r="H357" s="8" t="s">
        <v>39</v>
      </c>
      <c r="I357" s="10">
        <v>7.79</v>
      </c>
      <c r="J357" s="10">
        <v>12</v>
      </c>
      <c r="K357" s="10">
        <v>1541</v>
      </c>
      <c r="L357" s="8" t="s">
        <v>34</v>
      </c>
      <c r="M357" s="8" t="s">
        <v>49</v>
      </c>
      <c r="N357" s="10">
        <v>231.53</v>
      </c>
      <c r="O357" s="10">
        <v>759.11</v>
      </c>
      <c r="P357" s="8" t="s">
        <v>61</v>
      </c>
      <c r="Q357" s="10">
        <v>25.22</v>
      </c>
      <c r="R357" s="10">
        <f xml:space="preserve"> Table1_2[[#This Row],[Yield (Kg/Ha)]]/Table1_2[[#This Row],[Area (Hectares)]]</f>
        <v>197.81771501925544</v>
      </c>
      <c r="S357" s="10">
        <f>Table1_2[[#This Row],[Yield per Acre]]/Table1_2[[#This Row],[Yield (Kg/Ha)]]</f>
        <v>0.12836970474967907</v>
      </c>
      <c r="T357" s="11">
        <f>Table1_2[[#This Row],[Yield per Acre]]/N357</f>
        <v>0.85439344801647932</v>
      </c>
    </row>
    <row r="358" spans="1:20" x14ac:dyDescent="0.3">
      <c r="A358" s="8" t="s">
        <v>423</v>
      </c>
      <c r="B358" s="9">
        <v>2013</v>
      </c>
      <c r="C358" s="9" t="str">
        <f t="shared" si="5"/>
        <v>1905-07</v>
      </c>
      <c r="D358" s="10">
        <v>2013</v>
      </c>
      <c r="E358" s="8" t="s">
        <v>103</v>
      </c>
      <c r="F358" s="8" t="s">
        <v>228</v>
      </c>
      <c r="G358" s="8" t="s">
        <v>38</v>
      </c>
      <c r="H358" s="8" t="s">
        <v>46</v>
      </c>
      <c r="I358" s="10">
        <v>57.92</v>
      </c>
      <c r="J358" s="10">
        <v>148.66</v>
      </c>
      <c r="K358" s="10">
        <v>2566.65</v>
      </c>
      <c r="L358" s="8" t="s">
        <v>28</v>
      </c>
      <c r="M358" s="8" t="s">
        <v>47</v>
      </c>
      <c r="N358" s="10">
        <v>176.56</v>
      </c>
      <c r="O358" s="10">
        <v>758.63</v>
      </c>
      <c r="P358" s="8" t="s">
        <v>61</v>
      </c>
      <c r="Q358" s="10">
        <v>24.41</v>
      </c>
      <c r="R358" s="10">
        <f xml:space="preserve"> Table1_2[[#This Row],[Yield (Kg/Ha)]]/Table1_2[[#This Row],[Area (Hectares)]]</f>
        <v>44.313708563535911</v>
      </c>
      <c r="S358" s="10">
        <f>Table1_2[[#This Row],[Yield per Acre]]/Table1_2[[#This Row],[Yield (Kg/Ha)]]</f>
        <v>1.7265193370165747E-2</v>
      </c>
      <c r="T358" s="11">
        <f>Table1_2[[#This Row],[Yield per Acre]]/N358</f>
        <v>0.25098385004268187</v>
      </c>
    </row>
    <row r="359" spans="1:20" x14ac:dyDescent="0.3">
      <c r="A359" s="8" t="s">
        <v>424</v>
      </c>
      <c r="B359" s="9">
        <v>2022</v>
      </c>
      <c r="C359" s="9" t="str">
        <f t="shared" si="5"/>
        <v>1905-07</v>
      </c>
      <c r="D359" s="10">
        <v>2022</v>
      </c>
      <c r="E359" s="8" t="s">
        <v>31</v>
      </c>
      <c r="F359" s="8" t="s">
        <v>117</v>
      </c>
      <c r="G359" s="8" t="s">
        <v>19</v>
      </c>
      <c r="H359" s="8" t="s">
        <v>20</v>
      </c>
      <c r="I359" s="10">
        <v>69.72</v>
      </c>
      <c r="J359" s="10">
        <v>473.84</v>
      </c>
      <c r="K359" s="10">
        <v>6796.33</v>
      </c>
      <c r="L359" s="8" t="s">
        <v>28</v>
      </c>
      <c r="M359" s="8" t="s">
        <v>47</v>
      </c>
      <c r="N359" s="10">
        <v>242.49</v>
      </c>
      <c r="O359" s="10">
        <v>957.47</v>
      </c>
      <c r="P359" s="8" t="s">
        <v>52</v>
      </c>
      <c r="Q359" s="10">
        <v>30.22</v>
      </c>
      <c r="R359" s="10">
        <f xml:space="preserve"> Table1_2[[#This Row],[Yield (Kg/Ha)]]/Table1_2[[#This Row],[Area (Hectares)]]</f>
        <v>97.480349971313828</v>
      </c>
      <c r="S359" s="10">
        <f>Table1_2[[#This Row],[Yield per Acre]]/Table1_2[[#This Row],[Yield (Kg/Ha)]]</f>
        <v>1.4343086632243259E-2</v>
      </c>
      <c r="T359" s="11">
        <f>Table1_2[[#This Row],[Yield per Acre]]/N359</f>
        <v>0.40199740183642141</v>
      </c>
    </row>
    <row r="360" spans="1:20" x14ac:dyDescent="0.3">
      <c r="A360" s="8" t="s">
        <v>425</v>
      </c>
      <c r="B360" s="9">
        <v>2017</v>
      </c>
      <c r="C360" s="9" t="str">
        <f t="shared" si="5"/>
        <v>1905-07</v>
      </c>
      <c r="D360" s="10">
        <v>2017</v>
      </c>
      <c r="E360" s="8" t="s">
        <v>44</v>
      </c>
      <c r="F360" s="8" t="s">
        <v>45</v>
      </c>
      <c r="G360" s="8" t="s">
        <v>33</v>
      </c>
      <c r="H360" s="8" t="s">
        <v>20</v>
      </c>
      <c r="I360" s="10">
        <v>7.69</v>
      </c>
      <c r="J360" s="10">
        <v>36.93</v>
      </c>
      <c r="K360" s="10">
        <v>4801.97</v>
      </c>
      <c r="L360" s="8" t="s">
        <v>40</v>
      </c>
      <c r="M360" s="8" t="s">
        <v>47</v>
      </c>
      <c r="N360" s="10">
        <v>219.23</v>
      </c>
      <c r="O360" s="10">
        <v>429.93</v>
      </c>
      <c r="P360" s="8" t="s">
        <v>70</v>
      </c>
      <c r="Q360" s="10">
        <v>26.19</v>
      </c>
      <c r="R360" s="10">
        <f xml:space="preserve"> Table1_2[[#This Row],[Yield (Kg/Ha)]]/Table1_2[[#This Row],[Area (Hectares)]]</f>
        <v>624.44343302990899</v>
      </c>
      <c r="S360" s="10">
        <f>Table1_2[[#This Row],[Yield per Acre]]/Table1_2[[#This Row],[Yield (Kg/Ha)]]</f>
        <v>0.13003901170351104</v>
      </c>
      <c r="T360" s="11">
        <f>Table1_2[[#This Row],[Yield per Acre]]/N360</f>
        <v>2.8483484606573417</v>
      </c>
    </row>
    <row r="361" spans="1:20" x14ac:dyDescent="0.3">
      <c r="A361" s="8" t="s">
        <v>426</v>
      </c>
      <c r="B361" s="9">
        <v>2021</v>
      </c>
      <c r="C361" s="9" t="str">
        <f t="shared" si="5"/>
        <v>1905-07</v>
      </c>
      <c r="D361" s="10">
        <v>2021</v>
      </c>
      <c r="E361" s="8" t="s">
        <v>59</v>
      </c>
      <c r="F361" s="8" t="s">
        <v>60</v>
      </c>
      <c r="G361" s="8" t="s">
        <v>38</v>
      </c>
      <c r="H361" s="8" t="s">
        <v>56</v>
      </c>
      <c r="I361" s="10">
        <v>29.44</v>
      </c>
      <c r="J361" s="10">
        <v>99.91</v>
      </c>
      <c r="K361" s="10">
        <v>3393.58</v>
      </c>
      <c r="L361" s="8" t="s">
        <v>34</v>
      </c>
      <c r="M361" s="8" t="s">
        <v>47</v>
      </c>
      <c r="N361" s="10">
        <v>69.010000000000005</v>
      </c>
      <c r="O361" s="10">
        <v>1131.4000000000001</v>
      </c>
      <c r="P361" s="8" t="s">
        <v>52</v>
      </c>
      <c r="Q361" s="10">
        <v>24.71</v>
      </c>
      <c r="R361" s="10">
        <f xml:space="preserve"> Table1_2[[#This Row],[Yield (Kg/Ha)]]/Table1_2[[#This Row],[Area (Hectares)]]</f>
        <v>115.27105978260869</v>
      </c>
      <c r="S361" s="10">
        <f>Table1_2[[#This Row],[Yield per Acre]]/Table1_2[[#This Row],[Yield (Kg/Ha)]]</f>
        <v>3.3967391304347824E-2</v>
      </c>
      <c r="T361" s="11">
        <f>Table1_2[[#This Row],[Yield per Acre]]/N361</f>
        <v>1.6703529891698112</v>
      </c>
    </row>
    <row r="362" spans="1:20" x14ac:dyDescent="0.3">
      <c r="A362" s="8" t="s">
        <v>427</v>
      </c>
      <c r="B362" s="9">
        <v>2021</v>
      </c>
      <c r="C362" s="9" t="str">
        <f t="shared" si="5"/>
        <v>1905-07</v>
      </c>
      <c r="D362" s="10">
        <v>2021</v>
      </c>
      <c r="E362" s="8" t="s">
        <v>31</v>
      </c>
      <c r="F362" s="8" t="s">
        <v>82</v>
      </c>
      <c r="G362" s="8" t="s">
        <v>19</v>
      </c>
      <c r="H362" s="8" t="s">
        <v>56</v>
      </c>
      <c r="I362" s="10">
        <v>50.4</v>
      </c>
      <c r="J362" s="10">
        <v>110.78</v>
      </c>
      <c r="K362" s="10">
        <v>2198</v>
      </c>
      <c r="L362" s="8" t="s">
        <v>40</v>
      </c>
      <c r="M362" s="8" t="s">
        <v>47</v>
      </c>
      <c r="N362" s="10">
        <v>268.19</v>
      </c>
      <c r="O362" s="10">
        <v>406.78</v>
      </c>
      <c r="P362" s="8" t="s">
        <v>42</v>
      </c>
      <c r="Q362" s="10">
        <v>32.520000000000003</v>
      </c>
      <c r="R362" s="10">
        <f xml:space="preserve"> Table1_2[[#This Row],[Yield (Kg/Ha)]]/Table1_2[[#This Row],[Area (Hectares)]]</f>
        <v>43.611111111111114</v>
      </c>
      <c r="S362" s="10">
        <f>Table1_2[[#This Row],[Yield per Acre]]/Table1_2[[#This Row],[Yield (Kg/Ha)]]</f>
        <v>1.9841269841269844E-2</v>
      </c>
      <c r="T362" s="11">
        <f>Table1_2[[#This Row],[Yield per Acre]]/N362</f>
        <v>0.16261274138152473</v>
      </c>
    </row>
    <row r="363" spans="1:20" x14ac:dyDescent="0.3">
      <c r="A363" s="8" t="s">
        <v>428</v>
      </c>
      <c r="B363" s="9">
        <v>2022</v>
      </c>
      <c r="C363" s="9" t="str">
        <f t="shared" si="5"/>
        <v>1905-07</v>
      </c>
      <c r="D363" s="10">
        <v>2022</v>
      </c>
      <c r="E363" s="8" t="s">
        <v>31</v>
      </c>
      <c r="F363" s="8" t="s">
        <v>82</v>
      </c>
      <c r="G363" s="8" t="s">
        <v>33</v>
      </c>
      <c r="H363" s="8" t="s">
        <v>64</v>
      </c>
      <c r="I363" s="10">
        <v>92.1</v>
      </c>
      <c r="J363" s="10">
        <v>465.55</v>
      </c>
      <c r="K363" s="10">
        <v>5054.87</v>
      </c>
      <c r="L363" s="8" t="s">
        <v>28</v>
      </c>
      <c r="M363" s="8" t="s">
        <v>49</v>
      </c>
      <c r="N363" s="10">
        <v>203.46</v>
      </c>
      <c r="O363" s="10">
        <v>964.24</v>
      </c>
      <c r="P363" s="8" t="s">
        <v>61</v>
      </c>
      <c r="Q363" s="10">
        <v>34.369999999999997</v>
      </c>
      <c r="R363" s="10">
        <f xml:space="preserve"> Table1_2[[#This Row],[Yield (Kg/Ha)]]/Table1_2[[#This Row],[Area (Hectares)]]</f>
        <v>54.884581976112926</v>
      </c>
      <c r="S363" s="10">
        <f>Table1_2[[#This Row],[Yield per Acre]]/Table1_2[[#This Row],[Yield (Kg/Ha)]]</f>
        <v>1.0857763300760045E-2</v>
      </c>
      <c r="T363" s="11">
        <f>Table1_2[[#This Row],[Yield per Acre]]/N363</f>
        <v>0.2697561288514348</v>
      </c>
    </row>
    <row r="364" spans="1:20" x14ac:dyDescent="0.3">
      <c r="A364" s="8" t="s">
        <v>429</v>
      </c>
      <c r="B364" s="9">
        <v>2017</v>
      </c>
      <c r="C364" s="9" t="str">
        <f t="shared" si="5"/>
        <v>1905-07</v>
      </c>
      <c r="D364" s="10">
        <v>2017</v>
      </c>
      <c r="E364" s="8" t="s">
        <v>59</v>
      </c>
      <c r="F364" s="8" t="s">
        <v>63</v>
      </c>
      <c r="G364" s="8" t="s">
        <v>19</v>
      </c>
      <c r="H364" s="8" t="s">
        <v>20</v>
      </c>
      <c r="I364" s="10">
        <v>49.59</v>
      </c>
      <c r="J364" s="10">
        <v>342.49</v>
      </c>
      <c r="K364" s="10">
        <v>6906.37</v>
      </c>
      <c r="L364" s="8" t="s">
        <v>34</v>
      </c>
      <c r="M364" s="8" t="s">
        <v>29</v>
      </c>
      <c r="N364" s="10">
        <v>149.47</v>
      </c>
      <c r="O364" s="10">
        <v>950.17</v>
      </c>
      <c r="P364" s="8" t="s">
        <v>42</v>
      </c>
      <c r="Q364" s="10">
        <v>20.81</v>
      </c>
      <c r="R364" s="10">
        <f xml:space="preserve"> Table1_2[[#This Row],[Yield (Kg/Ha)]]/Table1_2[[#This Row],[Area (Hectares)]]</f>
        <v>139.26940915507157</v>
      </c>
      <c r="S364" s="10">
        <f>Table1_2[[#This Row],[Yield per Acre]]/Table1_2[[#This Row],[Yield (Kg/Ha)]]</f>
        <v>2.0165355918531962E-2</v>
      </c>
      <c r="T364" s="11">
        <f>Table1_2[[#This Row],[Yield per Acre]]/N364</f>
        <v>0.93175492844765884</v>
      </c>
    </row>
    <row r="365" spans="1:20" x14ac:dyDescent="0.3">
      <c r="A365" s="8" t="s">
        <v>430</v>
      </c>
      <c r="B365" s="9">
        <v>2010</v>
      </c>
      <c r="C365" s="9" t="str">
        <f t="shared" si="5"/>
        <v>1905-07</v>
      </c>
      <c r="D365" s="10">
        <v>2010</v>
      </c>
      <c r="E365" s="8" t="s">
        <v>36</v>
      </c>
      <c r="F365" s="8" t="s">
        <v>77</v>
      </c>
      <c r="G365" s="8" t="s">
        <v>19</v>
      </c>
      <c r="H365" s="8" t="s">
        <v>20</v>
      </c>
      <c r="I365" s="10">
        <v>39.979999999999997</v>
      </c>
      <c r="J365" s="10">
        <v>204.62</v>
      </c>
      <c r="K365" s="10">
        <v>5118.03</v>
      </c>
      <c r="L365" s="8" t="s">
        <v>40</v>
      </c>
      <c r="M365" s="8" t="s">
        <v>22</v>
      </c>
      <c r="N365" s="10">
        <v>164.3</v>
      </c>
      <c r="O365" s="10">
        <v>320.37</v>
      </c>
      <c r="P365" s="8" t="s">
        <v>61</v>
      </c>
      <c r="Q365" s="10">
        <v>26.9</v>
      </c>
      <c r="R365" s="10">
        <f xml:space="preserve"> Table1_2[[#This Row],[Yield (Kg/Ha)]]/Table1_2[[#This Row],[Area (Hectares)]]</f>
        <v>128.01475737868935</v>
      </c>
      <c r="S365" s="10">
        <f>Table1_2[[#This Row],[Yield per Acre]]/Table1_2[[#This Row],[Yield (Kg/Ha)]]</f>
        <v>2.5012506253126565E-2</v>
      </c>
      <c r="T365" s="11">
        <f>Table1_2[[#This Row],[Yield per Acre]]/N365</f>
        <v>0.77915250991289919</v>
      </c>
    </row>
    <row r="366" spans="1:20" x14ac:dyDescent="0.3">
      <c r="A366" s="8" t="s">
        <v>431</v>
      </c>
      <c r="B366" s="9">
        <v>2014</v>
      </c>
      <c r="C366" s="9" t="str">
        <f t="shared" si="5"/>
        <v>1905-07</v>
      </c>
      <c r="D366" s="10">
        <v>2013</v>
      </c>
      <c r="E366" s="8" t="s">
        <v>25</v>
      </c>
      <c r="F366" s="8" t="s">
        <v>69</v>
      </c>
      <c r="G366" s="8" t="s">
        <v>38</v>
      </c>
      <c r="H366" s="8" t="s">
        <v>27</v>
      </c>
      <c r="I366" s="10">
        <v>10.97</v>
      </c>
      <c r="J366" s="10">
        <v>34.770000000000003</v>
      </c>
      <c r="K366" s="10">
        <v>3169.61</v>
      </c>
      <c r="L366" s="8" t="s">
        <v>34</v>
      </c>
      <c r="M366" s="8" t="s">
        <v>49</v>
      </c>
      <c r="N366" s="10">
        <v>96.79</v>
      </c>
      <c r="O366" s="10">
        <v>462.85</v>
      </c>
      <c r="P366" s="8" t="s">
        <v>70</v>
      </c>
      <c r="Q366" s="10">
        <v>27.07</v>
      </c>
      <c r="R366" s="10">
        <f xml:space="preserve"> Table1_2[[#This Row],[Yield (Kg/Ha)]]/Table1_2[[#This Row],[Area (Hectares)]]</f>
        <v>288.93436645396537</v>
      </c>
      <c r="S366" s="10">
        <f>Table1_2[[#This Row],[Yield per Acre]]/Table1_2[[#This Row],[Yield (Kg/Ha)]]</f>
        <v>9.1157702825888781E-2</v>
      </c>
      <c r="T366" s="11">
        <f>Table1_2[[#This Row],[Yield per Acre]]/N366</f>
        <v>2.9851675426590076</v>
      </c>
    </row>
    <row r="367" spans="1:20" x14ac:dyDescent="0.3">
      <c r="A367" s="8" t="s">
        <v>432</v>
      </c>
      <c r="B367" s="9">
        <v>2016</v>
      </c>
      <c r="C367" s="9" t="str">
        <f t="shared" si="5"/>
        <v>1905-07</v>
      </c>
      <c r="D367" s="10">
        <v>2016</v>
      </c>
      <c r="E367" s="8" t="s">
        <v>103</v>
      </c>
      <c r="F367" s="8" t="s">
        <v>107</v>
      </c>
      <c r="G367" s="8" t="s">
        <v>33</v>
      </c>
      <c r="H367" s="8" t="s">
        <v>46</v>
      </c>
      <c r="I367" s="10">
        <v>70.37</v>
      </c>
      <c r="J367" s="10">
        <v>227.57</v>
      </c>
      <c r="K367" s="10">
        <v>3233.86</v>
      </c>
      <c r="L367" s="8" t="s">
        <v>28</v>
      </c>
      <c r="M367" s="8" t="s">
        <v>22</v>
      </c>
      <c r="N367" s="10">
        <v>119.91</v>
      </c>
      <c r="O367" s="10">
        <v>379.89</v>
      </c>
      <c r="P367" s="8" t="s">
        <v>42</v>
      </c>
      <c r="Q367" s="10">
        <v>34.69</v>
      </c>
      <c r="R367" s="10">
        <f xml:space="preserve"> Table1_2[[#This Row],[Yield (Kg/Ha)]]/Table1_2[[#This Row],[Area (Hectares)]]</f>
        <v>45.955094500497367</v>
      </c>
      <c r="S367" s="10">
        <f>Table1_2[[#This Row],[Yield per Acre]]/Table1_2[[#This Row],[Yield (Kg/Ha)]]</f>
        <v>1.4210601108426885E-2</v>
      </c>
      <c r="T367" s="11">
        <f>Table1_2[[#This Row],[Yield per Acre]]/N367</f>
        <v>0.38324655575429378</v>
      </c>
    </row>
    <row r="368" spans="1:20" x14ac:dyDescent="0.3">
      <c r="A368" s="8" t="s">
        <v>433</v>
      </c>
      <c r="B368" s="9">
        <v>2022</v>
      </c>
      <c r="C368" s="9" t="str">
        <f t="shared" si="5"/>
        <v>1905-07</v>
      </c>
      <c r="D368" s="10">
        <v>2022</v>
      </c>
      <c r="E368" s="8" t="s">
        <v>17</v>
      </c>
      <c r="F368" s="8" t="s">
        <v>72</v>
      </c>
      <c r="G368" s="8" t="s">
        <v>33</v>
      </c>
      <c r="H368" s="8" t="s">
        <v>27</v>
      </c>
      <c r="I368" s="10">
        <v>43.79</v>
      </c>
      <c r="J368" s="10">
        <v>143.86000000000001</v>
      </c>
      <c r="K368" s="10">
        <v>3285.3</v>
      </c>
      <c r="L368" s="8" t="s">
        <v>40</v>
      </c>
      <c r="M368" s="8" t="s">
        <v>29</v>
      </c>
      <c r="N368" s="10">
        <v>250.01</v>
      </c>
      <c r="O368" s="10">
        <v>938.54</v>
      </c>
      <c r="P368" s="8" t="s">
        <v>52</v>
      </c>
      <c r="Q368" s="10">
        <v>32.090000000000003</v>
      </c>
      <c r="R368" s="10">
        <f xml:space="preserve"> Table1_2[[#This Row],[Yield (Kg/Ha)]]/Table1_2[[#This Row],[Area (Hectares)]]</f>
        <v>75.023978077186584</v>
      </c>
      <c r="S368" s="10">
        <f>Table1_2[[#This Row],[Yield per Acre]]/Table1_2[[#This Row],[Yield (Kg/Ha)]]</f>
        <v>2.2836263987211693E-2</v>
      </c>
      <c r="T368" s="11">
        <f>Table1_2[[#This Row],[Yield per Acre]]/N368</f>
        <v>0.30008390895238823</v>
      </c>
    </row>
    <row r="369" spans="1:20" x14ac:dyDescent="0.3">
      <c r="A369" s="8" t="s">
        <v>434</v>
      </c>
      <c r="B369" s="9">
        <v>2020</v>
      </c>
      <c r="C369" s="9" t="str">
        <f t="shared" si="5"/>
        <v>1905-07</v>
      </c>
      <c r="D369" s="10">
        <v>2020</v>
      </c>
      <c r="E369" s="8" t="s">
        <v>36</v>
      </c>
      <c r="F369" s="8" t="s">
        <v>37</v>
      </c>
      <c r="G369" s="8" t="s">
        <v>19</v>
      </c>
      <c r="H369" s="8" t="s">
        <v>27</v>
      </c>
      <c r="I369" s="10">
        <v>72.34</v>
      </c>
      <c r="J369" s="10">
        <v>413.21</v>
      </c>
      <c r="K369" s="10">
        <v>5712</v>
      </c>
      <c r="L369" s="8" t="s">
        <v>34</v>
      </c>
      <c r="M369" s="8" t="s">
        <v>41</v>
      </c>
      <c r="N369" s="10">
        <v>112.74</v>
      </c>
      <c r="O369" s="10">
        <v>1058.5</v>
      </c>
      <c r="P369" s="8" t="s">
        <v>23</v>
      </c>
      <c r="Q369" s="10">
        <v>25.98</v>
      </c>
      <c r="R369" s="10">
        <f xml:space="preserve"> Table1_2[[#This Row],[Yield (Kg/Ha)]]/Table1_2[[#This Row],[Area (Hectares)]]</f>
        <v>78.960464473320428</v>
      </c>
      <c r="S369" s="10">
        <f>Table1_2[[#This Row],[Yield per Acre]]/Table1_2[[#This Row],[Yield (Kg/Ha)]]</f>
        <v>1.3823610727121923E-2</v>
      </c>
      <c r="T369" s="11">
        <f>Table1_2[[#This Row],[Yield per Acre]]/N369</f>
        <v>0.7003766584470501</v>
      </c>
    </row>
    <row r="370" spans="1:20" x14ac:dyDescent="0.3">
      <c r="A370" s="8" t="s">
        <v>435</v>
      </c>
      <c r="B370" s="9">
        <v>2015</v>
      </c>
      <c r="C370" s="9" t="str">
        <f t="shared" si="5"/>
        <v>1905-07</v>
      </c>
      <c r="D370" s="10">
        <v>2014</v>
      </c>
      <c r="E370" s="8" t="s">
        <v>25</v>
      </c>
      <c r="F370" s="8" t="s">
        <v>26</v>
      </c>
      <c r="G370" s="8" t="s">
        <v>38</v>
      </c>
      <c r="H370" s="8" t="s">
        <v>39</v>
      </c>
      <c r="I370" s="10">
        <v>10.53</v>
      </c>
      <c r="J370" s="10">
        <v>57.57</v>
      </c>
      <c r="K370" s="10">
        <v>5467.56</v>
      </c>
      <c r="L370" s="8" t="s">
        <v>34</v>
      </c>
      <c r="M370" s="8" t="s">
        <v>22</v>
      </c>
      <c r="N370" s="10">
        <v>140.24</v>
      </c>
      <c r="O370" s="10">
        <v>760.35</v>
      </c>
      <c r="P370" s="8" t="s">
        <v>70</v>
      </c>
      <c r="Q370" s="10">
        <v>25.16</v>
      </c>
      <c r="R370" s="10">
        <f xml:space="preserve"> Table1_2[[#This Row],[Yield (Kg/Ha)]]/Table1_2[[#This Row],[Area (Hectares)]]</f>
        <v>519.23646723646732</v>
      </c>
      <c r="S370" s="10">
        <f>Table1_2[[#This Row],[Yield per Acre]]/Table1_2[[#This Row],[Yield (Kg/Ha)]]</f>
        <v>9.4966761633428307E-2</v>
      </c>
      <c r="T370" s="11">
        <f>Table1_2[[#This Row],[Yield per Acre]]/N370</f>
        <v>3.7024847920455453</v>
      </c>
    </row>
    <row r="371" spans="1:20" x14ac:dyDescent="0.3">
      <c r="A371" s="8" t="s">
        <v>436</v>
      </c>
      <c r="B371" s="9">
        <v>2019</v>
      </c>
      <c r="C371" s="9" t="str">
        <f t="shared" si="5"/>
        <v>1905-07</v>
      </c>
      <c r="D371" s="10">
        <v>2019</v>
      </c>
      <c r="E371" s="8" t="s">
        <v>31</v>
      </c>
      <c r="F371" s="8" t="s">
        <v>117</v>
      </c>
      <c r="G371" s="8" t="s">
        <v>33</v>
      </c>
      <c r="H371" s="8" t="s">
        <v>27</v>
      </c>
      <c r="I371" s="10">
        <v>58.01</v>
      </c>
      <c r="J371" s="10">
        <v>283.95</v>
      </c>
      <c r="K371" s="10">
        <v>4894.79</v>
      </c>
      <c r="L371" s="8" t="s">
        <v>40</v>
      </c>
      <c r="M371" s="8" t="s">
        <v>29</v>
      </c>
      <c r="N371" s="10">
        <v>294.83999999999997</v>
      </c>
      <c r="O371" s="10">
        <v>484.61</v>
      </c>
      <c r="P371" s="8" t="s">
        <v>70</v>
      </c>
      <c r="Q371" s="10">
        <v>30.1</v>
      </c>
      <c r="R371" s="10">
        <f xml:space="preserve"> Table1_2[[#This Row],[Yield (Kg/Ha)]]/Table1_2[[#This Row],[Area (Hectares)]]</f>
        <v>84.378383037407346</v>
      </c>
      <c r="S371" s="10">
        <f>Table1_2[[#This Row],[Yield per Acre]]/Table1_2[[#This Row],[Yield (Kg/Ha)]]</f>
        <v>1.7238407171177385E-2</v>
      </c>
      <c r="T371" s="11">
        <f>Table1_2[[#This Row],[Yield per Acre]]/N371</f>
        <v>0.28618363531884194</v>
      </c>
    </row>
    <row r="372" spans="1:20" x14ac:dyDescent="0.3">
      <c r="A372" s="8" t="s">
        <v>437</v>
      </c>
      <c r="B372" s="9">
        <v>2020</v>
      </c>
      <c r="C372" s="9" t="str">
        <f t="shared" si="5"/>
        <v>1905-07</v>
      </c>
      <c r="D372" s="10">
        <v>2019</v>
      </c>
      <c r="E372" s="8" t="s">
        <v>25</v>
      </c>
      <c r="F372" s="8" t="s">
        <v>87</v>
      </c>
      <c r="G372" s="8" t="s">
        <v>38</v>
      </c>
      <c r="H372" s="8" t="s">
        <v>46</v>
      </c>
      <c r="I372" s="10">
        <v>63.54</v>
      </c>
      <c r="J372" s="10">
        <v>118.76</v>
      </c>
      <c r="K372" s="10">
        <v>1869.09</v>
      </c>
      <c r="L372" s="8" t="s">
        <v>40</v>
      </c>
      <c r="M372" s="8" t="s">
        <v>29</v>
      </c>
      <c r="N372" s="10">
        <v>210.15</v>
      </c>
      <c r="O372" s="10">
        <v>1128.57</v>
      </c>
      <c r="P372" s="8" t="s">
        <v>52</v>
      </c>
      <c r="Q372" s="10">
        <v>29.47</v>
      </c>
      <c r="R372" s="10">
        <f xml:space="preserve"> Table1_2[[#This Row],[Yield (Kg/Ha)]]/Table1_2[[#This Row],[Area (Hectares)]]</f>
        <v>29.415958451369214</v>
      </c>
      <c r="S372" s="10">
        <f>Table1_2[[#This Row],[Yield per Acre]]/Table1_2[[#This Row],[Yield (Kg/Ha)]]</f>
        <v>1.5738117721120555E-2</v>
      </c>
      <c r="T372" s="11">
        <f>Table1_2[[#This Row],[Yield per Acre]]/N372</f>
        <v>0.13997600976145236</v>
      </c>
    </row>
    <row r="373" spans="1:20" x14ac:dyDescent="0.3">
      <c r="A373" s="8" t="s">
        <v>438</v>
      </c>
      <c r="B373" s="9">
        <v>2011</v>
      </c>
      <c r="C373" s="9" t="str">
        <f t="shared" si="5"/>
        <v>1905-07</v>
      </c>
      <c r="D373" s="10">
        <v>2011</v>
      </c>
      <c r="E373" s="8" t="s">
        <v>44</v>
      </c>
      <c r="F373" s="8" t="s">
        <v>45</v>
      </c>
      <c r="G373" s="8" t="s">
        <v>33</v>
      </c>
      <c r="H373" s="8" t="s">
        <v>20</v>
      </c>
      <c r="I373" s="10">
        <v>23.59</v>
      </c>
      <c r="J373" s="10">
        <v>68.44</v>
      </c>
      <c r="K373" s="10">
        <v>2901.27</v>
      </c>
      <c r="L373" s="8" t="s">
        <v>34</v>
      </c>
      <c r="M373" s="8" t="s">
        <v>49</v>
      </c>
      <c r="N373" s="10">
        <v>227.61</v>
      </c>
      <c r="O373" s="10">
        <v>805.38</v>
      </c>
      <c r="P373" s="8" t="s">
        <v>52</v>
      </c>
      <c r="Q373" s="10">
        <v>24.07</v>
      </c>
      <c r="R373" s="10">
        <f xml:space="preserve"> Table1_2[[#This Row],[Yield (Kg/Ha)]]/Table1_2[[#This Row],[Area (Hectares)]]</f>
        <v>122.98728274692667</v>
      </c>
      <c r="S373" s="10">
        <f>Table1_2[[#This Row],[Yield per Acre]]/Table1_2[[#This Row],[Yield (Kg/Ha)]]</f>
        <v>4.2390843577787198E-2</v>
      </c>
      <c r="T373" s="11">
        <f>Table1_2[[#This Row],[Yield per Acre]]/N373</f>
        <v>0.54034217629685277</v>
      </c>
    </row>
    <row r="374" spans="1:20" x14ac:dyDescent="0.3">
      <c r="A374" s="8" t="s">
        <v>439</v>
      </c>
      <c r="B374" s="9">
        <v>2019</v>
      </c>
      <c r="C374" s="9" t="str">
        <f t="shared" si="5"/>
        <v>1905-07</v>
      </c>
      <c r="D374" s="10">
        <v>2018</v>
      </c>
      <c r="E374" s="8" t="s">
        <v>17</v>
      </c>
      <c r="F374" s="8" t="s">
        <v>54</v>
      </c>
      <c r="G374" s="8" t="s">
        <v>38</v>
      </c>
      <c r="H374" s="8" t="s">
        <v>46</v>
      </c>
      <c r="I374" s="10">
        <v>17.559999999999999</v>
      </c>
      <c r="J374" s="10">
        <v>107.56</v>
      </c>
      <c r="K374" s="10">
        <v>6125.27</v>
      </c>
      <c r="L374" s="8" t="s">
        <v>40</v>
      </c>
      <c r="M374" s="8" t="s">
        <v>22</v>
      </c>
      <c r="N374" s="10">
        <v>231.94</v>
      </c>
      <c r="O374" s="10">
        <v>862.02</v>
      </c>
      <c r="P374" s="8" t="s">
        <v>23</v>
      </c>
      <c r="Q374" s="10">
        <v>23.16</v>
      </c>
      <c r="R374" s="10">
        <f xml:space="preserve"> Table1_2[[#This Row],[Yield (Kg/Ha)]]/Table1_2[[#This Row],[Area (Hectares)]]</f>
        <v>348.8194760820046</v>
      </c>
      <c r="S374" s="10">
        <f>Table1_2[[#This Row],[Yield per Acre]]/Table1_2[[#This Row],[Yield (Kg/Ha)]]</f>
        <v>5.6947608200455586E-2</v>
      </c>
      <c r="T374" s="11">
        <f>Table1_2[[#This Row],[Yield per Acre]]/N374</f>
        <v>1.5039211696214736</v>
      </c>
    </row>
    <row r="375" spans="1:20" x14ac:dyDescent="0.3">
      <c r="A375" s="8" t="s">
        <v>440</v>
      </c>
      <c r="B375" s="9">
        <v>2017</v>
      </c>
      <c r="C375" s="9" t="str">
        <f t="shared" si="5"/>
        <v>1905-07</v>
      </c>
      <c r="D375" s="10">
        <v>2017</v>
      </c>
      <c r="E375" s="8" t="s">
        <v>25</v>
      </c>
      <c r="F375" s="8" t="s">
        <v>26</v>
      </c>
      <c r="G375" s="8" t="s">
        <v>19</v>
      </c>
      <c r="H375" s="8" t="s">
        <v>64</v>
      </c>
      <c r="I375" s="10">
        <v>3.61</v>
      </c>
      <c r="J375" s="10">
        <v>12.21</v>
      </c>
      <c r="K375" s="10">
        <v>3382.08</v>
      </c>
      <c r="L375" s="8" t="s">
        <v>21</v>
      </c>
      <c r="M375" s="8" t="s">
        <v>29</v>
      </c>
      <c r="N375" s="10">
        <v>75.98</v>
      </c>
      <c r="O375" s="10">
        <v>818.1</v>
      </c>
      <c r="P375" s="8" t="s">
        <v>23</v>
      </c>
      <c r="Q375" s="10">
        <v>29.82</v>
      </c>
      <c r="R375" s="10">
        <f xml:space="preserve"> Table1_2[[#This Row],[Yield (Kg/Ha)]]/Table1_2[[#This Row],[Area (Hectares)]]</f>
        <v>936.86426592797784</v>
      </c>
      <c r="S375" s="10">
        <f>Table1_2[[#This Row],[Yield per Acre]]/Table1_2[[#This Row],[Yield (Kg/Ha)]]</f>
        <v>0.2770083102493075</v>
      </c>
      <c r="T375" s="11">
        <f>Table1_2[[#This Row],[Yield per Acre]]/N375</f>
        <v>12.330406237535902</v>
      </c>
    </row>
    <row r="376" spans="1:20" x14ac:dyDescent="0.3">
      <c r="A376" s="8" t="s">
        <v>441</v>
      </c>
      <c r="B376" s="9">
        <v>2013</v>
      </c>
      <c r="C376" s="9" t="str">
        <f t="shared" si="5"/>
        <v>1905-07</v>
      </c>
      <c r="D376" s="10">
        <v>2013</v>
      </c>
      <c r="E376" s="8" t="s">
        <v>31</v>
      </c>
      <c r="F376" s="8" t="s">
        <v>82</v>
      </c>
      <c r="G376" s="8" t="s">
        <v>19</v>
      </c>
      <c r="H376" s="8" t="s">
        <v>20</v>
      </c>
      <c r="I376" s="10">
        <v>44.87</v>
      </c>
      <c r="J376" s="10">
        <v>78.900000000000006</v>
      </c>
      <c r="K376" s="10">
        <v>1758.47</v>
      </c>
      <c r="L376" s="8" t="s">
        <v>40</v>
      </c>
      <c r="M376" s="8" t="s">
        <v>47</v>
      </c>
      <c r="N376" s="10">
        <v>57.14</v>
      </c>
      <c r="O376" s="10">
        <v>863.55</v>
      </c>
      <c r="P376" s="8" t="s">
        <v>70</v>
      </c>
      <c r="Q376" s="10">
        <v>32.96</v>
      </c>
      <c r="R376" s="10">
        <f xml:space="preserve"> Table1_2[[#This Row],[Yield (Kg/Ha)]]/Table1_2[[#This Row],[Area (Hectares)]]</f>
        <v>39.190327613104529</v>
      </c>
      <c r="S376" s="10">
        <f>Table1_2[[#This Row],[Yield per Acre]]/Table1_2[[#This Row],[Yield (Kg/Ha)]]</f>
        <v>2.2286605749944285E-2</v>
      </c>
      <c r="T376" s="11">
        <f>Table1_2[[#This Row],[Yield per Acre]]/N376</f>
        <v>0.68586502648065328</v>
      </c>
    </row>
    <row r="377" spans="1:20" x14ac:dyDescent="0.3">
      <c r="A377" s="8" t="s">
        <v>442</v>
      </c>
      <c r="B377" s="9">
        <v>2017</v>
      </c>
      <c r="C377" s="9" t="str">
        <f t="shared" si="5"/>
        <v>1905-07</v>
      </c>
      <c r="D377" s="10">
        <v>2017</v>
      </c>
      <c r="E377" s="8" t="s">
        <v>31</v>
      </c>
      <c r="F377" s="8" t="s">
        <v>117</v>
      </c>
      <c r="G377" s="8" t="s">
        <v>33</v>
      </c>
      <c r="H377" s="8" t="s">
        <v>39</v>
      </c>
      <c r="I377" s="10">
        <v>54.39</v>
      </c>
      <c r="J377" s="10">
        <v>247.2</v>
      </c>
      <c r="K377" s="10">
        <v>4544.99</v>
      </c>
      <c r="L377" s="8" t="s">
        <v>28</v>
      </c>
      <c r="M377" s="8" t="s">
        <v>49</v>
      </c>
      <c r="N377" s="10">
        <v>207.76</v>
      </c>
      <c r="O377" s="10">
        <v>835.85</v>
      </c>
      <c r="P377" s="8" t="s">
        <v>61</v>
      </c>
      <c r="Q377" s="10">
        <v>26.52</v>
      </c>
      <c r="R377" s="10">
        <f xml:space="preserve"> Table1_2[[#This Row],[Yield (Kg/Ha)]]/Table1_2[[#This Row],[Area (Hectares)]]</f>
        <v>83.562971134399703</v>
      </c>
      <c r="S377" s="10">
        <f>Table1_2[[#This Row],[Yield per Acre]]/Table1_2[[#This Row],[Yield (Kg/Ha)]]</f>
        <v>1.8385732671446959E-2</v>
      </c>
      <c r="T377" s="11">
        <f>Table1_2[[#This Row],[Yield per Acre]]/N377</f>
        <v>0.40220914100115379</v>
      </c>
    </row>
    <row r="378" spans="1:20" x14ac:dyDescent="0.3">
      <c r="A378" s="8" t="s">
        <v>443</v>
      </c>
      <c r="B378" s="9">
        <v>2018</v>
      </c>
      <c r="C378" s="9" t="str">
        <f t="shared" si="5"/>
        <v>1905-07</v>
      </c>
      <c r="D378" s="10">
        <v>2018</v>
      </c>
      <c r="E378" s="8" t="s">
        <v>31</v>
      </c>
      <c r="F378" s="8" t="s">
        <v>32</v>
      </c>
      <c r="G378" s="8" t="s">
        <v>33</v>
      </c>
      <c r="H378" s="8" t="s">
        <v>64</v>
      </c>
      <c r="I378" s="10">
        <v>44.74</v>
      </c>
      <c r="J378" s="10">
        <v>142.93</v>
      </c>
      <c r="K378" s="10">
        <v>3194.7</v>
      </c>
      <c r="L378" s="8" t="s">
        <v>34</v>
      </c>
      <c r="M378" s="8" t="s">
        <v>49</v>
      </c>
      <c r="N378" s="10">
        <v>88.93</v>
      </c>
      <c r="O378" s="10">
        <v>210.56</v>
      </c>
      <c r="P378" s="8" t="s">
        <v>61</v>
      </c>
      <c r="Q378" s="10">
        <v>32.229999999999997</v>
      </c>
      <c r="R378" s="10">
        <f xml:space="preserve"> Table1_2[[#This Row],[Yield (Kg/Ha)]]/Table1_2[[#This Row],[Area (Hectares)]]</f>
        <v>71.405900759946348</v>
      </c>
      <c r="S378" s="10">
        <f>Table1_2[[#This Row],[Yield per Acre]]/Table1_2[[#This Row],[Yield (Kg/Ha)]]</f>
        <v>2.2351363433169423E-2</v>
      </c>
      <c r="T378" s="11">
        <f>Table1_2[[#This Row],[Yield per Acre]]/N378</f>
        <v>0.80294502147696323</v>
      </c>
    </row>
    <row r="379" spans="1:20" x14ac:dyDescent="0.3">
      <c r="A379" s="8" t="s">
        <v>444</v>
      </c>
      <c r="B379" s="9">
        <v>2018</v>
      </c>
      <c r="C379" s="9" t="str">
        <f t="shared" si="5"/>
        <v>1905-07</v>
      </c>
      <c r="D379" s="10">
        <v>2018</v>
      </c>
      <c r="E379" s="8" t="s">
        <v>31</v>
      </c>
      <c r="F379" s="8" t="s">
        <v>32</v>
      </c>
      <c r="G379" s="8" t="s">
        <v>33</v>
      </c>
      <c r="H379" s="8" t="s">
        <v>39</v>
      </c>
      <c r="I379" s="10">
        <v>92.29</v>
      </c>
      <c r="J379" s="10">
        <v>616.66</v>
      </c>
      <c r="K379" s="10">
        <v>6681.75</v>
      </c>
      <c r="L379" s="8" t="s">
        <v>28</v>
      </c>
      <c r="M379" s="8" t="s">
        <v>47</v>
      </c>
      <c r="N379" s="10">
        <v>124.9</v>
      </c>
      <c r="O379" s="10">
        <v>965.87</v>
      </c>
      <c r="P379" s="8" t="s">
        <v>70</v>
      </c>
      <c r="Q379" s="10">
        <v>28.96</v>
      </c>
      <c r="R379" s="10">
        <f xml:space="preserve"> Table1_2[[#This Row],[Yield (Kg/Ha)]]/Table1_2[[#This Row],[Area (Hectares)]]</f>
        <v>72.399501571134465</v>
      </c>
      <c r="S379" s="10">
        <f>Table1_2[[#This Row],[Yield per Acre]]/Table1_2[[#This Row],[Yield (Kg/Ha)]]</f>
        <v>1.0835410120273052E-2</v>
      </c>
      <c r="T379" s="11">
        <f>Table1_2[[#This Row],[Yield per Acre]]/N379</f>
        <v>0.57965974036136481</v>
      </c>
    </row>
    <row r="380" spans="1:20" x14ac:dyDescent="0.3">
      <c r="A380" s="8" t="s">
        <v>445</v>
      </c>
      <c r="B380" s="9">
        <v>2016</v>
      </c>
      <c r="C380" s="9" t="str">
        <f t="shared" si="5"/>
        <v>1905-07</v>
      </c>
      <c r="D380" s="10">
        <v>2016</v>
      </c>
      <c r="E380" s="8" t="s">
        <v>31</v>
      </c>
      <c r="F380" s="8" t="s">
        <v>82</v>
      </c>
      <c r="G380" s="8" t="s">
        <v>19</v>
      </c>
      <c r="H380" s="8" t="s">
        <v>46</v>
      </c>
      <c r="I380" s="10">
        <v>40.08</v>
      </c>
      <c r="J380" s="10">
        <v>79.34</v>
      </c>
      <c r="K380" s="10">
        <v>1979.62</v>
      </c>
      <c r="L380" s="8" t="s">
        <v>28</v>
      </c>
      <c r="M380" s="8" t="s">
        <v>47</v>
      </c>
      <c r="N380" s="10">
        <v>257.11</v>
      </c>
      <c r="O380" s="10">
        <v>420.59</v>
      </c>
      <c r="P380" s="8" t="s">
        <v>23</v>
      </c>
      <c r="Q380" s="10">
        <v>26.33</v>
      </c>
      <c r="R380" s="10">
        <f xml:space="preserve"> Table1_2[[#This Row],[Yield (Kg/Ha)]]/Table1_2[[#This Row],[Area (Hectares)]]</f>
        <v>49.391716566866265</v>
      </c>
      <c r="S380" s="10">
        <f>Table1_2[[#This Row],[Yield per Acre]]/Table1_2[[#This Row],[Yield (Kg/Ha)]]</f>
        <v>2.4950099800399202E-2</v>
      </c>
      <c r="T380" s="11">
        <f>Table1_2[[#This Row],[Yield per Acre]]/N380</f>
        <v>0.19210344431125301</v>
      </c>
    </row>
    <row r="381" spans="1:20" x14ac:dyDescent="0.3">
      <c r="A381" s="8" t="s">
        <v>446</v>
      </c>
      <c r="B381" s="9">
        <v>2022</v>
      </c>
      <c r="C381" s="9" t="str">
        <f t="shared" si="5"/>
        <v>1905-07</v>
      </c>
      <c r="D381" s="10">
        <v>2022</v>
      </c>
      <c r="E381" s="8" t="s">
        <v>44</v>
      </c>
      <c r="F381" s="8" t="s">
        <v>67</v>
      </c>
      <c r="G381" s="8" t="s">
        <v>19</v>
      </c>
      <c r="H381" s="8" t="s">
        <v>39</v>
      </c>
      <c r="I381" s="10">
        <v>27.91</v>
      </c>
      <c r="J381" s="10">
        <v>136.5</v>
      </c>
      <c r="K381" s="10">
        <v>4890.74</v>
      </c>
      <c r="L381" s="8" t="s">
        <v>34</v>
      </c>
      <c r="M381" s="8" t="s">
        <v>29</v>
      </c>
      <c r="N381" s="10">
        <v>153.22999999999999</v>
      </c>
      <c r="O381" s="10">
        <v>1053.48</v>
      </c>
      <c r="P381" s="8" t="s">
        <v>42</v>
      </c>
      <c r="Q381" s="10">
        <v>22.05</v>
      </c>
      <c r="R381" s="10">
        <f xml:space="preserve"> Table1_2[[#This Row],[Yield (Kg/Ha)]]/Table1_2[[#This Row],[Area (Hectares)]]</f>
        <v>175.23253314224291</v>
      </c>
      <c r="S381" s="10">
        <f>Table1_2[[#This Row],[Yield per Acre]]/Table1_2[[#This Row],[Yield (Kg/Ha)]]</f>
        <v>3.5829451809387319E-2</v>
      </c>
      <c r="T381" s="11">
        <f>Table1_2[[#This Row],[Yield per Acre]]/N381</f>
        <v>1.1435915495806495</v>
      </c>
    </row>
    <row r="382" spans="1:20" x14ac:dyDescent="0.3">
      <c r="A382" s="8" t="s">
        <v>447</v>
      </c>
      <c r="B382" s="9">
        <v>2014</v>
      </c>
      <c r="C382" s="9" t="str">
        <f t="shared" si="5"/>
        <v>1905-07</v>
      </c>
      <c r="D382" s="10">
        <v>2014</v>
      </c>
      <c r="E382" s="8" t="s">
        <v>59</v>
      </c>
      <c r="F382" s="8" t="s">
        <v>63</v>
      </c>
      <c r="G382" s="8" t="s">
        <v>19</v>
      </c>
      <c r="H382" s="8" t="s">
        <v>27</v>
      </c>
      <c r="I382" s="10">
        <v>49.71</v>
      </c>
      <c r="J382" s="10">
        <v>145.35</v>
      </c>
      <c r="K382" s="10">
        <v>2923.86</v>
      </c>
      <c r="L382" s="8" t="s">
        <v>40</v>
      </c>
      <c r="M382" s="8" t="s">
        <v>49</v>
      </c>
      <c r="N382" s="10">
        <v>62.41</v>
      </c>
      <c r="O382" s="10">
        <v>734.97</v>
      </c>
      <c r="P382" s="8" t="s">
        <v>42</v>
      </c>
      <c r="Q382" s="10">
        <v>34.58</v>
      </c>
      <c r="R382" s="10">
        <f xml:space="preserve"> Table1_2[[#This Row],[Yield (Kg/Ha)]]/Table1_2[[#This Row],[Area (Hectares)]]</f>
        <v>58.818346409173209</v>
      </c>
      <c r="S382" s="10">
        <f>Table1_2[[#This Row],[Yield per Acre]]/Table1_2[[#This Row],[Yield (Kg/Ha)]]</f>
        <v>2.0116676725005028E-2</v>
      </c>
      <c r="T382" s="11">
        <f>Table1_2[[#This Row],[Yield per Acre]]/N382</f>
        <v>0.94245067151375117</v>
      </c>
    </row>
    <row r="383" spans="1:20" x14ac:dyDescent="0.3">
      <c r="A383" s="8" t="s">
        <v>448</v>
      </c>
      <c r="B383" s="9">
        <v>2017</v>
      </c>
      <c r="C383" s="9" t="str">
        <f t="shared" si="5"/>
        <v>1905-07</v>
      </c>
      <c r="D383" s="10">
        <v>2017</v>
      </c>
      <c r="E383" s="8" t="s">
        <v>103</v>
      </c>
      <c r="F383" s="8" t="s">
        <v>228</v>
      </c>
      <c r="G383" s="8" t="s">
        <v>19</v>
      </c>
      <c r="H383" s="8" t="s">
        <v>64</v>
      </c>
      <c r="I383" s="10">
        <v>24.05</v>
      </c>
      <c r="J383" s="10">
        <v>45.79</v>
      </c>
      <c r="K383" s="10">
        <v>1904.1</v>
      </c>
      <c r="L383" s="8" t="s">
        <v>28</v>
      </c>
      <c r="M383" s="8" t="s">
        <v>22</v>
      </c>
      <c r="N383" s="10">
        <v>104.3</v>
      </c>
      <c r="O383" s="10">
        <v>620.24</v>
      </c>
      <c r="P383" s="8" t="s">
        <v>52</v>
      </c>
      <c r="Q383" s="10">
        <v>34.97</v>
      </c>
      <c r="R383" s="10">
        <f xml:space="preserve"> Table1_2[[#This Row],[Yield (Kg/Ha)]]/Table1_2[[#This Row],[Area (Hectares)]]</f>
        <v>79.172557172557163</v>
      </c>
      <c r="S383" s="10">
        <f>Table1_2[[#This Row],[Yield per Acre]]/Table1_2[[#This Row],[Yield (Kg/Ha)]]</f>
        <v>4.1580041580041575E-2</v>
      </c>
      <c r="T383" s="11">
        <f>Table1_2[[#This Row],[Yield per Acre]]/N383</f>
        <v>0.75908492015874562</v>
      </c>
    </row>
    <row r="384" spans="1:20" x14ac:dyDescent="0.3">
      <c r="A384" s="8" t="s">
        <v>449</v>
      </c>
      <c r="B384" s="9">
        <v>2022</v>
      </c>
      <c r="C384" s="9" t="str">
        <f t="shared" si="5"/>
        <v>1905-07</v>
      </c>
      <c r="D384" s="10">
        <v>2022</v>
      </c>
      <c r="E384" s="8" t="s">
        <v>31</v>
      </c>
      <c r="F384" s="8" t="s">
        <v>82</v>
      </c>
      <c r="G384" s="8" t="s">
        <v>33</v>
      </c>
      <c r="H384" s="8" t="s">
        <v>64</v>
      </c>
      <c r="I384" s="10">
        <v>27.38</v>
      </c>
      <c r="J384" s="10">
        <v>91.85</v>
      </c>
      <c r="K384" s="10">
        <v>3354.53</v>
      </c>
      <c r="L384" s="8" t="s">
        <v>28</v>
      </c>
      <c r="M384" s="8" t="s">
        <v>22</v>
      </c>
      <c r="N384" s="10">
        <v>95.4</v>
      </c>
      <c r="O384" s="10">
        <v>1095.7</v>
      </c>
      <c r="P384" s="8" t="s">
        <v>70</v>
      </c>
      <c r="Q384" s="10">
        <v>32.26</v>
      </c>
      <c r="R384" s="10">
        <f xml:space="preserve"> Table1_2[[#This Row],[Yield (Kg/Ha)]]/Table1_2[[#This Row],[Area (Hectares)]]</f>
        <v>122.51753104455808</v>
      </c>
      <c r="S384" s="10">
        <f>Table1_2[[#This Row],[Yield per Acre]]/Table1_2[[#This Row],[Yield (Kg/Ha)]]</f>
        <v>3.6523009495982472E-2</v>
      </c>
      <c r="T384" s="11">
        <f>Table1_2[[#This Row],[Yield per Acre]]/N384</f>
        <v>1.2842508495236695</v>
      </c>
    </row>
    <row r="385" spans="1:20" x14ac:dyDescent="0.3">
      <c r="A385" s="8" t="s">
        <v>450</v>
      </c>
      <c r="B385" s="9">
        <v>2013</v>
      </c>
      <c r="C385" s="9" t="str">
        <f t="shared" si="5"/>
        <v>1905-07</v>
      </c>
      <c r="D385" s="10">
        <v>2013</v>
      </c>
      <c r="E385" s="8" t="s">
        <v>44</v>
      </c>
      <c r="F385" s="8" t="s">
        <v>67</v>
      </c>
      <c r="G385" s="8" t="s">
        <v>38</v>
      </c>
      <c r="H385" s="8" t="s">
        <v>46</v>
      </c>
      <c r="I385" s="10">
        <v>25.47</v>
      </c>
      <c r="J385" s="10">
        <v>177.45</v>
      </c>
      <c r="K385" s="10">
        <v>6967.21</v>
      </c>
      <c r="L385" s="8" t="s">
        <v>40</v>
      </c>
      <c r="M385" s="8" t="s">
        <v>29</v>
      </c>
      <c r="N385" s="10">
        <v>165.21</v>
      </c>
      <c r="O385" s="10">
        <v>971</v>
      </c>
      <c r="P385" s="8" t="s">
        <v>61</v>
      </c>
      <c r="Q385" s="10">
        <v>29.99</v>
      </c>
      <c r="R385" s="10">
        <f xml:space="preserve"> Table1_2[[#This Row],[Yield (Kg/Ha)]]/Table1_2[[#This Row],[Area (Hectares)]]</f>
        <v>273.54574008637616</v>
      </c>
      <c r="S385" s="10">
        <f>Table1_2[[#This Row],[Yield per Acre]]/Table1_2[[#This Row],[Yield (Kg/Ha)]]</f>
        <v>3.926187671770711E-2</v>
      </c>
      <c r="T385" s="11">
        <f>Table1_2[[#This Row],[Yield per Acre]]/N385</f>
        <v>1.6557456575653782</v>
      </c>
    </row>
    <row r="386" spans="1:20" x14ac:dyDescent="0.3">
      <c r="A386" s="8" t="s">
        <v>451</v>
      </c>
      <c r="B386" s="9">
        <v>2014</v>
      </c>
      <c r="C386" s="9" t="str">
        <f t="shared" ref="C386:C449" si="6">TEXT(B386,"YYYY-MM")</f>
        <v>1905-07</v>
      </c>
      <c r="D386" s="10">
        <v>2014</v>
      </c>
      <c r="E386" s="8" t="s">
        <v>36</v>
      </c>
      <c r="F386" s="8" t="s">
        <v>77</v>
      </c>
      <c r="G386" s="8" t="s">
        <v>38</v>
      </c>
      <c r="H386" s="8" t="s">
        <v>56</v>
      </c>
      <c r="I386" s="10">
        <v>63.29</v>
      </c>
      <c r="J386" s="10">
        <v>79.31</v>
      </c>
      <c r="K386" s="10">
        <v>1253.1199999999999</v>
      </c>
      <c r="L386" s="8" t="s">
        <v>21</v>
      </c>
      <c r="M386" s="8" t="s">
        <v>41</v>
      </c>
      <c r="N386" s="10">
        <v>113.33</v>
      </c>
      <c r="O386" s="10">
        <v>838.52</v>
      </c>
      <c r="P386" s="8" t="s">
        <v>42</v>
      </c>
      <c r="Q386" s="10">
        <v>25.41</v>
      </c>
      <c r="R386" s="10">
        <f xml:space="preserve"> Table1_2[[#This Row],[Yield (Kg/Ha)]]/Table1_2[[#This Row],[Area (Hectares)]]</f>
        <v>19.799652393743084</v>
      </c>
      <c r="S386" s="10">
        <f>Table1_2[[#This Row],[Yield per Acre]]/Table1_2[[#This Row],[Yield (Kg/Ha)]]</f>
        <v>1.580028440511929E-2</v>
      </c>
      <c r="T386" s="11">
        <f>Table1_2[[#This Row],[Yield per Acre]]/N386</f>
        <v>0.17470795370813627</v>
      </c>
    </row>
    <row r="387" spans="1:20" x14ac:dyDescent="0.3">
      <c r="A387" s="8" t="s">
        <v>452</v>
      </c>
      <c r="B387" s="9">
        <v>2021</v>
      </c>
      <c r="C387" s="9" t="str">
        <f t="shared" si="6"/>
        <v>1905-07</v>
      </c>
      <c r="D387" s="10">
        <v>2020</v>
      </c>
      <c r="E387" s="8" t="s">
        <v>25</v>
      </c>
      <c r="F387" s="8" t="s">
        <v>26</v>
      </c>
      <c r="G387" s="8" t="s">
        <v>38</v>
      </c>
      <c r="H387" s="8" t="s">
        <v>20</v>
      </c>
      <c r="I387" s="10">
        <v>2.4900000000000002</v>
      </c>
      <c r="J387" s="10">
        <v>14.36</v>
      </c>
      <c r="K387" s="10">
        <v>5766.34</v>
      </c>
      <c r="L387" s="8" t="s">
        <v>21</v>
      </c>
      <c r="M387" s="8" t="s">
        <v>47</v>
      </c>
      <c r="N387" s="10">
        <v>148.94999999999999</v>
      </c>
      <c r="O387" s="10">
        <v>443.09</v>
      </c>
      <c r="P387" s="8" t="s">
        <v>23</v>
      </c>
      <c r="Q387" s="10">
        <v>28.72</v>
      </c>
      <c r="R387" s="10">
        <f xml:space="preserve"> Table1_2[[#This Row],[Yield (Kg/Ha)]]/Table1_2[[#This Row],[Area (Hectares)]]</f>
        <v>2315.7991967871485</v>
      </c>
      <c r="S387" s="10">
        <f>Table1_2[[#This Row],[Yield per Acre]]/Table1_2[[#This Row],[Yield (Kg/Ha)]]</f>
        <v>0.40160642570281124</v>
      </c>
      <c r="T387" s="11">
        <f>Table1_2[[#This Row],[Yield per Acre]]/N387</f>
        <v>15.547493768292371</v>
      </c>
    </row>
    <row r="388" spans="1:20" x14ac:dyDescent="0.3">
      <c r="A388" s="8" t="s">
        <v>453</v>
      </c>
      <c r="B388" s="9">
        <v>2022</v>
      </c>
      <c r="C388" s="9" t="str">
        <f t="shared" si="6"/>
        <v>1905-07</v>
      </c>
      <c r="D388" s="10">
        <v>2022</v>
      </c>
      <c r="E388" s="8" t="s">
        <v>103</v>
      </c>
      <c r="F388" s="8" t="s">
        <v>107</v>
      </c>
      <c r="G388" s="8" t="s">
        <v>33</v>
      </c>
      <c r="H388" s="8" t="s">
        <v>56</v>
      </c>
      <c r="I388" s="10">
        <v>16.61</v>
      </c>
      <c r="J388" s="10">
        <v>25.72</v>
      </c>
      <c r="K388" s="10">
        <v>1548.41</v>
      </c>
      <c r="L388" s="8" t="s">
        <v>34</v>
      </c>
      <c r="M388" s="8" t="s">
        <v>47</v>
      </c>
      <c r="N388" s="10">
        <v>282.70999999999998</v>
      </c>
      <c r="O388" s="10">
        <v>1196.97</v>
      </c>
      <c r="P388" s="8" t="s">
        <v>23</v>
      </c>
      <c r="Q388" s="10">
        <v>20.9</v>
      </c>
      <c r="R388" s="10">
        <f xml:space="preserve"> Table1_2[[#This Row],[Yield (Kg/Ha)]]/Table1_2[[#This Row],[Area (Hectares)]]</f>
        <v>93.221553281155934</v>
      </c>
      <c r="S388" s="10">
        <f>Table1_2[[#This Row],[Yield per Acre]]/Table1_2[[#This Row],[Yield (Kg/Ha)]]</f>
        <v>6.0204695966285367E-2</v>
      </c>
      <c r="T388" s="11">
        <f>Table1_2[[#This Row],[Yield per Acre]]/N388</f>
        <v>0.32974268077236724</v>
      </c>
    </row>
    <row r="389" spans="1:20" x14ac:dyDescent="0.3">
      <c r="A389" s="8" t="s">
        <v>454</v>
      </c>
      <c r="B389" s="9">
        <v>2013</v>
      </c>
      <c r="C389" s="9" t="str">
        <f t="shared" si="6"/>
        <v>1905-07</v>
      </c>
      <c r="D389" s="10">
        <v>2012</v>
      </c>
      <c r="E389" s="8" t="s">
        <v>44</v>
      </c>
      <c r="F389" s="8" t="s">
        <v>45</v>
      </c>
      <c r="G389" s="8" t="s">
        <v>38</v>
      </c>
      <c r="H389" s="8" t="s">
        <v>56</v>
      </c>
      <c r="I389" s="10">
        <v>32.36</v>
      </c>
      <c r="J389" s="10">
        <v>140.77000000000001</v>
      </c>
      <c r="K389" s="10">
        <v>4350.1000000000004</v>
      </c>
      <c r="L389" s="8" t="s">
        <v>34</v>
      </c>
      <c r="M389" s="8" t="s">
        <v>49</v>
      </c>
      <c r="N389" s="10">
        <v>251.38</v>
      </c>
      <c r="O389" s="10">
        <v>638.72</v>
      </c>
      <c r="P389" s="8" t="s">
        <v>42</v>
      </c>
      <c r="Q389" s="10">
        <v>20.32</v>
      </c>
      <c r="R389" s="10">
        <f xml:space="preserve"> Table1_2[[#This Row],[Yield (Kg/Ha)]]/Table1_2[[#This Row],[Area (Hectares)]]</f>
        <v>134.42830655129791</v>
      </c>
      <c r="S389" s="10">
        <f>Table1_2[[#This Row],[Yield per Acre]]/Table1_2[[#This Row],[Yield (Kg/Ha)]]</f>
        <v>3.0902348578491966E-2</v>
      </c>
      <c r="T389" s="11">
        <f>Table1_2[[#This Row],[Yield per Acre]]/N389</f>
        <v>0.53476134358858263</v>
      </c>
    </row>
    <row r="390" spans="1:20" x14ac:dyDescent="0.3">
      <c r="A390" s="8" t="s">
        <v>455</v>
      </c>
      <c r="B390" s="9">
        <v>2014</v>
      </c>
      <c r="C390" s="9" t="str">
        <f t="shared" si="6"/>
        <v>1905-07</v>
      </c>
      <c r="D390" s="10">
        <v>2014</v>
      </c>
      <c r="E390" s="8" t="s">
        <v>17</v>
      </c>
      <c r="F390" s="8" t="s">
        <v>18</v>
      </c>
      <c r="G390" s="8" t="s">
        <v>33</v>
      </c>
      <c r="H390" s="8" t="s">
        <v>46</v>
      </c>
      <c r="I390" s="10">
        <v>70.959999999999994</v>
      </c>
      <c r="J390" s="10">
        <v>308.97000000000003</v>
      </c>
      <c r="K390" s="10">
        <v>4354.1499999999996</v>
      </c>
      <c r="L390" s="8" t="s">
        <v>28</v>
      </c>
      <c r="M390" s="8" t="s">
        <v>49</v>
      </c>
      <c r="N390" s="10">
        <v>97.44</v>
      </c>
      <c r="O390" s="10">
        <v>386.63</v>
      </c>
      <c r="P390" s="8" t="s">
        <v>70</v>
      </c>
      <c r="Q390" s="10">
        <v>24.86</v>
      </c>
      <c r="R390" s="10">
        <f xml:space="preserve"> Table1_2[[#This Row],[Yield (Kg/Ha)]]/Table1_2[[#This Row],[Area (Hectares)]]</f>
        <v>61.360625704622322</v>
      </c>
      <c r="S390" s="10">
        <f>Table1_2[[#This Row],[Yield per Acre]]/Table1_2[[#This Row],[Yield (Kg/Ha)]]</f>
        <v>1.4092446448703496E-2</v>
      </c>
      <c r="T390" s="11">
        <f>Table1_2[[#This Row],[Yield per Acre]]/N390</f>
        <v>0.62972727529374306</v>
      </c>
    </row>
    <row r="391" spans="1:20" x14ac:dyDescent="0.3">
      <c r="A391" s="8" t="s">
        <v>456</v>
      </c>
      <c r="B391" s="9">
        <v>2018</v>
      </c>
      <c r="C391" s="9" t="str">
        <f t="shared" si="6"/>
        <v>1905-07</v>
      </c>
      <c r="D391" s="10">
        <v>2018</v>
      </c>
      <c r="E391" s="8" t="s">
        <v>44</v>
      </c>
      <c r="F391" s="8" t="s">
        <v>67</v>
      </c>
      <c r="G391" s="8" t="s">
        <v>33</v>
      </c>
      <c r="H391" s="8" t="s">
        <v>64</v>
      </c>
      <c r="I391" s="10">
        <v>53.58</v>
      </c>
      <c r="J391" s="10">
        <v>198.05</v>
      </c>
      <c r="K391" s="10">
        <v>3696.31</v>
      </c>
      <c r="L391" s="8" t="s">
        <v>34</v>
      </c>
      <c r="M391" s="8" t="s">
        <v>22</v>
      </c>
      <c r="N391" s="10">
        <v>185.4</v>
      </c>
      <c r="O391" s="10">
        <v>654.08000000000004</v>
      </c>
      <c r="P391" s="8" t="s">
        <v>61</v>
      </c>
      <c r="Q391" s="10">
        <v>25.69</v>
      </c>
      <c r="R391" s="10">
        <f xml:space="preserve"> Table1_2[[#This Row],[Yield (Kg/Ha)]]/Table1_2[[#This Row],[Area (Hectares)]]</f>
        <v>68.986748786860772</v>
      </c>
      <c r="S391" s="10">
        <f>Table1_2[[#This Row],[Yield per Acre]]/Table1_2[[#This Row],[Yield (Kg/Ha)]]</f>
        <v>1.8663680477790223E-2</v>
      </c>
      <c r="T391" s="11">
        <f>Table1_2[[#This Row],[Yield per Acre]]/N391</f>
        <v>0.37209681114811632</v>
      </c>
    </row>
    <row r="392" spans="1:20" x14ac:dyDescent="0.3">
      <c r="A392" s="8" t="s">
        <v>457</v>
      </c>
      <c r="B392" s="9">
        <v>2022</v>
      </c>
      <c r="C392" s="9" t="str">
        <f t="shared" si="6"/>
        <v>1905-07</v>
      </c>
      <c r="D392" s="10">
        <v>2022</v>
      </c>
      <c r="E392" s="8" t="s">
        <v>59</v>
      </c>
      <c r="F392" s="8" t="s">
        <v>63</v>
      </c>
      <c r="G392" s="8" t="s">
        <v>19</v>
      </c>
      <c r="H392" s="8" t="s">
        <v>56</v>
      </c>
      <c r="I392" s="10">
        <v>32.75</v>
      </c>
      <c r="J392" s="10">
        <v>45.2</v>
      </c>
      <c r="K392" s="10">
        <v>1380.05</v>
      </c>
      <c r="L392" s="8" t="s">
        <v>28</v>
      </c>
      <c r="M392" s="8" t="s">
        <v>49</v>
      </c>
      <c r="N392" s="10">
        <v>97.47</v>
      </c>
      <c r="O392" s="10">
        <v>883.22</v>
      </c>
      <c r="P392" s="8" t="s">
        <v>61</v>
      </c>
      <c r="Q392" s="10">
        <v>22.31</v>
      </c>
      <c r="R392" s="10">
        <f xml:space="preserve"> Table1_2[[#This Row],[Yield (Kg/Ha)]]/Table1_2[[#This Row],[Area (Hectares)]]</f>
        <v>42.138931297709924</v>
      </c>
      <c r="S392" s="10">
        <f>Table1_2[[#This Row],[Yield per Acre]]/Table1_2[[#This Row],[Yield (Kg/Ha)]]</f>
        <v>3.053435114503817E-2</v>
      </c>
      <c r="T392" s="11">
        <f>Table1_2[[#This Row],[Yield per Acre]]/N392</f>
        <v>0.43232719090704752</v>
      </c>
    </row>
    <row r="393" spans="1:20" x14ac:dyDescent="0.3">
      <c r="A393" s="8" t="s">
        <v>458</v>
      </c>
      <c r="B393" s="9">
        <v>2015</v>
      </c>
      <c r="C393" s="9" t="str">
        <f t="shared" si="6"/>
        <v>1905-07</v>
      </c>
      <c r="D393" s="10">
        <v>2015</v>
      </c>
      <c r="E393" s="8" t="s">
        <v>36</v>
      </c>
      <c r="F393" s="8" t="s">
        <v>77</v>
      </c>
      <c r="G393" s="8" t="s">
        <v>33</v>
      </c>
      <c r="H393" s="8" t="s">
        <v>64</v>
      </c>
      <c r="I393" s="10">
        <v>52.8</v>
      </c>
      <c r="J393" s="10">
        <v>73.92</v>
      </c>
      <c r="K393" s="10">
        <v>1400.08</v>
      </c>
      <c r="L393" s="8" t="s">
        <v>40</v>
      </c>
      <c r="M393" s="8" t="s">
        <v>22</v>
      </c>
      <c r="N393" s="10">
        <v>94.66</v>
      </c>
      <c r="O393" s="10">
        <v>231.27</v>
      </c>
      <c r="P393" s="8" t="s">
        <v>23</v>
      </c>
      <c r="Q393" s="10">
        <v>27.28</v>
      </c>
      <c r="R393" s="10">
        <f xml:space="preserve"> Table1_2[[#This Row],[Yield (Kg/Ha)]]/Table1_2[[#This Row],[Area (Hectares)]]</f>
        <v>26.516666666666666</v>
      </c>
      <c r="S393" s="10">
        <f>Table1_2[[#This Row],[Yield per Acre]]/Table1_2[[#This Row],[Yield (Kg/Ha)]]</f>
        <v>1.893939393939394E-2</v>
      </c>
      <c r="T393" s="11">
        <f>Table1_2[[#This Row],[Yield per Acre]]/N393</f>
        <v>0.28012536094091134</v>
      </c>
    </row>
    <row r="394" spans="1:20" x14ac:dyDescent="0.3">
      <c r="A394" s="8" t="s">
        <v>459</v>
      </c>
      <c r="B394" s="9">
        <v>2016</v>
      </c>
      <c r="C394" s="9" t="str">
        <f t="shared" si="6"/>
        <v>1905-07</v>
      </c>
      <c r="D394" s="10">
        <v>2016</v>
      </c>
      <c r="E394" s="8" t="s">
        <v>59</v>
      </c>
      <c r="F394" s="8" t="s">
        <v>93</v>
      </c>
      <c r="G394" s="8" t="s">
        <v>19</v>
      </c>
      <c r="H394" s="8" t="s">
        <v>46</v>
      </c>
      <c r="I394" s="10">
        <v>53.06</v>
      </c>
      <c r="J394" s="10">
        <v>276.33</v>
      </c>
      <c r="K394" s="10">
        <v>5207.88</v>
      </c>
      <c r="L394" s="8" t="s">
        <v>34</v>
      </c>
      <c r="M394" s="8" t="s">
        <v>41</v>
      </c>
      <c r="N394" s="10">
        <v>62.27</v>
      </c>
      <c r="O394" s="10">
        <v>420.72</v>
      </c>
      <c r="P394" s="8" t="s">
        <v>23</v>
      </c>
      <c r="Q394" s="10">
        <v>20.2</v>
      </c>
      <c r="R394" s="10">
        <f xml:space="preserve"> Table1_2[[#This Row],[Yield (Kg/Ha)]]/Table1_2[[#This Row],[Area (Hectares)]]</f>
        <v>98.150772710139464</v>
      </c>
      <c r="S394" s="10">
        <f>Table1_2[[#This Row],[Yield per Acre]]/Table1_2[[#This Row],[Yield (Kg/Ha)]]</f>
        <v>1.8846588767433094E-2</v>
      </c>
      <c r="T394" s="11">
        <f>Table1_2[[#This Row],[Yield per Acre]]/N394</f>
        <v>1.5762128265639868</v>
      </c>
    </row>
    <row r="395" spans="1:20" x14ac:dyDescent="0.3">
      <c r="A395" s="8" t="s">
        <v>460</v>
      </c>
      <c r="B395" s="9">
        <v>2012</v>
      </c>
      <c r="C395" s="9" t="str">
        <f t="shared" si="6"/>
        <v>1905-07</v>
      </c>
      <c r="D395" s="10">
        <v>2011</v>
      </c>
      <c r="E395" s="8" t="s">
        <v>17</v>
      </c>
      <c r="F395" s="8" t="s">
        <v>72</v>
      </c>
      <c r="G395" s="8" t="s">
        <v>38</v>
      </c>
      <c r="H395" s="8" t="s">
        <v>39</v>
      </c>
      <c r="I395" s="10">
        <v>7.01</v>
      </c>
      <c r="J395" s="10">
        <v>30.48</v>
      </c>
      <c r="K395" s="10">
        <v>4348.12</v>
      </c>
      <c r="L395" s="8" t="s">
        <v>28</v>
      </c>
      <c r="M395" s="8" t="s">
        <v>47</v>
      </c>
      <c r="N395" s="10">
        <v>255.51</v>
      </c>
      <c r="O395" s="10">
        <v>994.25</v>
      </c>
      <c r="P395" s="8" t="s">
        <v>23</v>
      </c>
      <c r="Q395" s="10">
        <v>32.35</v>
      </c>
      <c r="R395" s="10">
        <f xml:space="preserve"> Table1_2[[#This Row],[Yield (Kg/Ha)]]/Table1_2[[#This Row],[Area (Hectares)]]</f>
        <v>620.2738944365193</v>
      </c>
      <c r="S395" s="10">
        <f>Table1_2[[#This Row],[Yield per Acre]]/Table1_2[[#This Row],[Yield (Kg/Ha)]]</f>
        <v>0.14265335235378032</v>
      </c>
      <c r="T395" s="11">
        <f>Table1_2[[#This Row],[Yield per Acre]]/N395</f>
        <v>2.4275914619252448</v>
      </c>
    </row>
    <row r="396" spans="1:20" x14ac:dyDescent="0.3">
      <c r="A396" s="8" t="s">
        <v>461</v>
      </c>
      <c r="B396" s="9">
        <v>2012</v>
      </c>
      <c r="C396" s="9" t="str">
        <f t="shared" si="6"/>
        <v>1905-07</v>
      </c>
      <c r="D396" s="10">
        <v>2011</v>
      </c>
      <c r="E396" s="8" t="s">
        <v>25</v>
      </c>
      <c r="F396" s="8" t="s">
        <v>69</v>
      </c>
      <c r="G396" s="8" t="s">
        <v>38</v>
      </c>
      <c r="H396" s="8" t="s">
        <v>64</v>
      </c>
      <c r="I396" s="10">
        <v>94.52</v>
      </c>
      <c r="J396" s="10">
        <v>639.29</v>
      </c>
      <c r="K396" s="10">
        <v>6763.52</v>
      </c>
      <c r="L396" s="8" t="s">
        <v>21</v>
      </c>
      <c r="M396" s="8" t="s">
        <v>41</v>
      </c>
      <c r="N396" s="10">
        <v>75.31</v>
      </c>
      <c r="O396" s="10">
        <v>431.02</v>
      </c>
      <c r="P396" s="8" t="s">
        <v>52</v>
      </c>
      <c r="Q396" s="10">
        <v>22.84</v>
      </c>
      <c r="R396" s="10">
        <f xml:space="preserve"> Table1_2[[#This Row],[Yield (Kg/Ha)]]/Table1_2[[#This Row],[Area (Hectares)]]</f>
        <v>71.556495979686844</v>
      </c>
      <c r="S396" s="10">
        <f>Table1_2[[#This Row],[Yield per Acre]]/Table1_2[[#This Row],[Yield (Kg/Ha)]]</f>
        <v>1.0579771476936098E-2</v>
      </c>
      <c r="T396" s="11">
        <f>Table1_2[[#This Row],[Yield per Acre]]/N396</f>
        <v>0.95015928800540217</v>
      </c>
    </row>
    <row r="397" spans="1:20" x14ac:dyDescent="0.3">
      <c r="A397" s="8" t="s">
        <v>462</v>
      </c>
      <c r="B397" s="9">
        <v>2012</v>
      </c>
      <c r="C397" s="9" t="str">
        <f t="shared" si="6"/>
        <v>1905-07</v>
      </c>
      <c r="D397" s="10">
        <v>2012</v>
      </c>
      <c r="E397" s="8" t="s">
        <v>59</v>
      </c>
      <c r="F397" s="8" t="s">
        <v>93</v>
      </c>
      <c r="G397" s="8" t="s">
        <v>19</v>
      </c>
      <c r="H397" s="8" t="s">
        <v>39</v>
      </c>
      <c r="I397" s="10">
        <v>56.26</v>
      </c>
      <c r="J397" s="10">
        <v>308.12</v>
      </c>
      <c r="K397" s="10">
        <v>5476.65</v>
      </c>
      <c r="L397" s="8" t="s">
        <v>34</v>
      </c>
      <c r="M397" s="8" t="s">
        <v>41</v>
      </c>
      <c r="N397" s="10">
        <v>218.62</v>
      </c>
      <c r="O397" s="10">
        <v>902.55</v>
      </c>
      <c r="P397" s="8" t="s">
        <v>52</v>
      </c>
      <c r="Q397" s="10">
        <v>33.24</v>
      </c>
      <c r="R397" s="10">
        <f xml:space="preserve"> Table1_2[[#This Row],[Yield (Kg/Ha)]]/Table1_2[[#This Row],[Area (Hectares)]]</f>
        <v>97.345360824742258</v>
      </c>
      <c r="S397" s="10">
        <f>Table1_2[[#This Row],[Yield per Acre]]/Table1_2[[#This Row],[Yield (Kg/Ha)]]</f>
        <v>1.7774617845716316E-2</v>
      </c>
      <c r="T397" s="11">
        <f>Table1_2[[#This Row],[Yield per Acre]]/N397</f>
        <v>0.44527198254845052</v>
      </c>
    </row>
    <row r="398" spans="1:20" x14ac:dyDescent="0.3">
      <c r="A398" s="8" t="s">
        <v>463</v>
      </c>
      <c r="B398" s="9">
        <v>2019</v>
      </c>
      <c r="C398" s="9" t="str">
        <f t="shared" si="6"/>
        <v>1905-07</v>
      </c>
      <c r="D398" s="10">
        <v>2018</v>
      </c>
      <c r="E398" s="8" t="s">
        <v>59</v>
      </c>
      <c r="F398" s="8" t="s">
        <v>63</v>
      </c>
      <c r="G398" s="8" t="s">
        <v>38</v>
      </c>
      <c r="H398" s="8" t="s">
        <v>39</v>
      </c>
      <c r="I398" s="10">
        <v>16.66</v>
      </c>
      <c r="J398" s="10">
        <v>116.46</v>
      </c>
      <c r="K398" s="10">
        <v>6990.6</v>
      </c>
      <c r="L398" s="8" t="s">
        <v>28</v>
      </c>
      <c r="M398" s="8" t="s">
        <v>49</v>
      </c>
      <c r="N398" s="10">
        <v>283.38</v>
      </c>
      <c r="O398" s="10">
        <v>1102.48</v>
      </c>
      <c r="P398" s="8" t="s">
        <v>61</v>
      </c>
      <c r="Q398" s="10">
        <v>34.869999999999997</v>
      </c>
      <c r="R398" s="10">
        <f xml:space="preserve"> Table1_2[[#This Row],[Yield (Kg/Ha)]]/Table1_2[[#This Row],[Area (Hectares)]]</f>
        <v>419.60384153661465</v>
      </c>
      <c r="S398" s="10">
        <f>Table1_2[[#This Row],[Yield per Acre]]/Table1_2[[#This Row],[Yield (Kg/Ha)]]</f>
        <v>6.0024009603841535E-2</v>
      </c>
      <c r="T398" s="11">
        <f>Table1_2[[#This Row],[Yield per Acre]]/N398</f>
        <v>1.4807108530475497</v>
      </c>
    </row>
    <row r="399" spans="1:20" x14ac:dyDescent="0.3">
      <c r="A399" s="8" t="s">
        <v>464</v>
      </c>
      <c r="B399" s="9">
        <v>2016</v>
      </c>
      <c r="C399" s="9" t="str">
        <f t="shared" si="6"/>
        <v>1905-07</v>
      </c>
      <c r="D399" s="10">
        <v>2016</v>
      </c>
      <c r="E399" s="8" t="s">
        <v>36</v>
      </c>
      <c r="F399" s="8" t="s">
        <v>77</v>
      </c>
      <c r="G399" s="8" t="s">
        <v>19</v>
      </c>
      <c r="H399" s="8" t="s">
        <v>20</v>
      </c>
      <c r="I399" s="10">
        <v>61.23</v>
      </c>
      <c r="J399" s="10">
        <v>268.12</v>
      </c>
      <c r="K399" s="10">
        <v>4378.87</v>
      </c>
      <c r="L399" s="8" t="s">
        <v>40</v>
      </c>
      <c r="M399" s="8" t="s">
        <v>29</v>
      </c>
      <c r="N399" s="10">
        <v>143.77000000000001</v>
      </c>
      <c r="O399" s="10">
        <v>750.24</v>
      </c>
      <c r="P399" s="8" t="s">
        <v>70</v>
      </c>
      <c r="Q399" s="10">
        <v>25.4</v>
      </c>
      <c r="R399" s="10">
        <f xml:space="preserve"> Table1_2[[#This Row],[Yield (Kg/Ha)]]/Table1_2[[#This Row],[Area (Hectares)]]</f>
        <v>71.515106973705699</v>
      </c>
      <c r="S399" s="10">
        <f>Table1_2[[#This Row],[Yield per Acre]]/Table1_2[[#This Row],[Yield (Kg/Ha)]]</f>
        <v>1.6331863465621429E-2</v>
      </c>
      <c r="T399" s="11">
        <f>Table1_2[[#This Row],[Yield per Acre]]/N399</f>
        <v>0.49742718907773315</v>
      </c>
    </row>
    <row r="400" spans="1:20" x14ac:dyDescent="0.3">
      <c r="A400" s="8" t="s">
        <v>465</v>
      </c>
      <c r="B400" s="9">
        <v>2021</v>
      </c>
      <c r="C400" s="9" t="str">
        <f t="shared" si="6"/>
        <v>1905-07</v>
      </c>
      <c r="D400" s="10">
        <v>2021</v>
      </c>
      <c r="E400" s="8" t="s">
        <v>36</v>
      </c>
      <c r="F400" s="8" t="s">
        <v>37</v>
      </c>
      <c r="G400" s="8" t="s">
        <v>33</v>
      </c>
      <c r="H400" s="8" t="s">
        <v>20</v>
      </c>
      <c r="I400" s="10">
        <v>59.98</v>
      </c>
      <c r="J400" s="10">
        <v>246.26</v>
      </c>
      <c r="K400" s="10">
        <v>4105.66</v>
      </c>
      <c r="L400" s="8" t="s">
        <v>34</v>
      </c>
      <c r="M400" s="8" t="s">
        <v>49</v>
      </c>
      <c r="N400" s="10">
        <v>51.64</v>
      </c>
      <c r="O400" s="10">
        <v>1184.3900000000001</v>
      </c>
      <c r="P400" s="8" t="s">
        <v>42</v>
      </c>
      <c r="Q400" s="10">
        <v>32.840000000000003</v>
      </c>
      <c r="R400" s="10">
        <f xml:space="preserve"> Table1_2[[#This Row],[Yield (Kg/Ha)]]/Table1_2[[#This Row],[Area (Hectares)]]</f>
        <v>68.450483494498172</v>
      </c>
      <c r="S400" s="10">
        <f>Table1_2[[#This Row],[Yield per Acre]]/Table1_2[[#This Row],[Yield (Kg/Ha)]]</f>
        <v>1.6672224074691565E-2</v>
      </c>
      <c r="T400" s="11">
        <f>Table1_2[[#This Row],[Yield per Acre]]/N400</f>
        <v>1.3255322132939227</v>
      </c>
    </row>
    <row r="401" spans="1:20" x14ac:dyDescent="0.3">
      <c r="A401" s="8" t="s">
        <v>466</v>
      </c>
      <c r="B401" s="9">
        <v>2018</v>
      </c>
      <c r="C401" s="9" t="str">
        <f t="shared" si="6"/>
        <v>1905-07</v>
      </c>
      <c r="D401" s="10">
        <v>2018</v>
      </c>
      <c r="E401" s="8" t="s">
        <v>59</v>
      </c>
      <c r="F401" s="8" t="s">
        <v>93</v>
      </c>
      <c r="G401" s="8" t="s">
        <v>19</v>
      </c>
      <c r="H401" s="8" t="s">
        <v>27</v>
      </c>
      <c r="I401" s="10">
        <v>16.32</v>
      </c>
      <c r="J401" s="10">
        <v>20.02</v>
      </c>
      <c r="K401" s="10">
        <v>1226.42</v>
      </c>
      <c r="L401" s="8" t="s">
        <v>34</v>
      </c>
      <c r="M401" s="8" t="s">
        <v>49</v>
      </c>
      <c r="N401" s="10">
        <v>89.03</v>
      </c>
      <c r="O401" s="10">
        <v>464.99</v>
      </c>
      <c r="P401" s="8" t="s">
        <v>61</v>
      </c>
      <c r="Q401" s="10">
        <v>23.75</v>
      </c>
      <c r="R401" s="10">
        <f xml:space="preserve"> Table1_2[[#This Row],[Yield (Kg/Ha)]]/Table1_2[[#This Row],[Area (Hectares)]]</f>
        <v>75.148284313725497</v>
      </c>
      <c r="S401" s="10">
        <f>Table1_2[[#This Row],[Yield per Acre]]/Table1_2[[#This Row],[Yield (Kg/Ha)]]</f>
        <v>6.1274509803921573E-2</v>
      </c>
      <c r="T401" s="11">
        <f>Table1_2[[#This Row],[Yield per Acre]]/N401</f>
        <v>0.84407822434825897</v>
      </c>
    </row>
    <row r="402" spans="1:20" x14ac:dyDescent="0.3">
      <c r="A402" s="8" t="s">
        <v>467</v>
      </c>
      <c r="B402" s="9">
        <v>2016</v>
      </c>
      <c r="C402" s="9" t="str">
        <f t="shared" si="6"/>
        <v>1905-07</v>
      </c>
      <c r="D402" s="10">
        <v>2016</v>
      </c>
      <c r="E402" s="8" t="s">
        <v>25</v>
      </c>
      <c r="F402" s="8" t="s">
        <v>69</v>
      </c>
      <c r="G402" s="8" t="s">
        <v>19</v>
      </c>
      <c r="H402" s="8" t="s">
        <v>56</v>
      </c>
      <c r="I402" s="10">
        <v>73.69</v>
      </c>
      <c r="J402" s="10">
        <v>393.61</v>
      </c>
      <c r="K402" s="10">
        <v>5341.48</v>
      </c>
      <c r="L402" s="8" t="s">
        <v>28</v>
      </c>
      <c r="M402" s="8" t="s">
        <v>47</v>
      </c>
      <c r="N402" s="10">
        <v>93.23</v>
      </c>
      <c r="O402" s="10">
        <v>1025.71</v>
      </c>
      <c r="P402" s="8" t="s">
        <v>61</v>
      </c>
      <c r="Q402" s="10">
        <v>32.29</v>
      </c>
      <c r="R402" s="10">
        <f xml:space="preserve"> Table1_2[[#This Row],[Yield (Kg/Ha)]]/Table1_2[[#This Row],[Area (Hectares)]]</f>
        <v>72.485818971366527</v>
      </c>
      <c r="S402" s="10">
        <f>Table1_2[[#This Row],[Yield per Acre]]/Table1_2[[#This Row],[Yield (Kg/Ha)]]</f>
        <v>1.3570362328674175E-2</v>
      </c>
      <c r="T402" s="11">
        <f>Table1_2[[#This Row],[Yield per Acre]]/N402</f>
        <v>0.77749457225535257</v>
      </c>
    </row>
    <row r="403" spans="1:20" x14ac:dyDescent="0.3">
      <c r="A403" s="8" t="s">
        <v>468</v>
      </c>
      <c r="B403" s="9">
        <v>2010</v>
      </c>
      <c r="C403" s="9" t="str">
        <f t="shared" si="6"/>
        <v>1905-07</v>
      </c>
      <c r="D403" s="10">
        <v>2010</v>
      </c>
      <c r="E403" s="8" t="s">
        <v>17</v>
      </c>
      <c r="F403" s="8" t="s">
        <v>72</v>
      </c>
      <c r="G403" s="8" t="s">
        <v>19</v>
      </c>
      <c r="H403" s="8" t="s">
        <v>27</v>
      </c>
      <c r="I403" s="10">
        <v>38.770000000000003</v>
      </c>
      <c r="J403" s="10">
        <v>220.24</v>
      </c>
      <c r="K403" s="10">
        <v>5680.73</v>
      </c>
      <c r="L403" s="8" t="s">
        <v>34</v>
      </c>
      <c r="M403" s="8" t="s">
        <v>41</v>
      </c>
      <c r="N403" s="10">
        <v>136.97999999999999</v>
      </c>
      <c r="O403" s="10">
        <v>1017.14</v>
      </c>
      <c r="P403" s="8" t="s">
        <v>52</v>
      </c>
      <c r="Q403" s="10">
        <v>33.950000000000003</v>
      </c>
      <c r="R403" s="10">
        <f xml:space="preserve"> Table1_2[[#This Row],[Yield (Kg/Ha)]]/Table1_2[[#This Row],[Area (Hectares)]]</f>
        <v>146.52385865359813</v>
      </c>
      <c r="S403" s="10">
        <f>Table1_2[[#This Row],[Yield per Acre]]/Table1_2[[#This Row],[Yield (Kg/Ha)]]</f>
        <v>2.5793139025019344E-2</v>
      </c>
      <c r="T403" s="11">
        <f>Table1_2[[#This Row],[Yield per Acre]]/N403</f>
        <v>1.0696733731464312</v>
      </c>
    </row>
    <row r="404" spans="1:20" x14ac:dyDescent="0.3">
      <c r="A404" s="8" t="s">
        <v>469</v>
      </c>
      <c r="B404" s="9">
        <v>2019</v>
      </c>
      <c r="C404" s="9" t="str">
        <f t="shared" si="6"/>
        <v>1905-07</v>
      </c>
      <c r="D404" s="10">
        <v>2019</v>
      </c>
      <c r="E404" s="8" t="s">
        <v>17</v>
      </c>
      <c r="F404" s="8" t="s">
        <v>54</v>
      </c>
      <c r="G404" s="8" t="s">
        <v>33</v>
      </c>
      <c r="H404" s="8" t="s">
        <v>39</v>
      </c>
      <c r="I404" s="10">
        <v>77.959999999999994</v>
      </c>
      <c r="J404" s="10">
        <v>256.87</v>
      </c>
      <c r="K404" s="10">
        <v>3294.92</v>
      </c>
      <c r="L404" s="8" t="s">
        <v>34</v>
      </c>
      <c r="M404" s="8" t="s">
        <v>41</v>
      </c>
      <c r="N404" s="10">
        <v>181.1</v>
      </c>
      <c r="O404" s="10">
        <v>519.32000000000005</v>
      </c>
      <c r="P404" s="8" t="s">
        <v>61</v>
      </c>
      <c r="Q404" s="10">
        <v>22.24</v>
      </c>
      <c r="R404" s="10">
        <f xml:space="preserve"> Table1_2[[#This Row],[Yield (Kg/Ha)]]/Table1_2[[#This Row],[Area (Hectares)]]</f>
        <v>42.264238070805547</v>
      </c>
      <c r="S404" s="10">
        <f>Table1_2[[#This Row],[Yield per Acre]]/Table1_2[[#This Row],[Yield (Kg/Ha)]]</f>
        <v>1.2827090815802977E-2</v>
      </c>
      <c r="T404" s="11">
        <f>Table1_2[[#This Row],[Yield per Acre]]/N404</f>
        <v>0.2333751411971593</v>
      </c>
    </row>
    <row r="405" spans="1:20" x14ac:dyDescent="0.3">
      <c r="A405" s="8" t="s">
        <v>470</v>
      </c>
      <c r="B405" s="9">
        <v>2020</v>
      </c>
      <c r="C405" s="9" t="str">
        <f t="shared" si="6"/>
        <v>1905-07</v>
      </c>
      <c r="D405" s="10">
        <v>2020</v>
      </c>
      <c r="E405" s="8" t="s">
        <v>103</v>
      </c>
      <c r="F405" s="8" t="s">
        <v>104</v>
      </c>
      <c r="G405" s="8" t="s">
        <v>19</v>
      </c>
      <c r="H405" s="8" t="s">
        <v>46</v>
      </c>
      <c r="I405" s="10">
        <v>97.13</v>
      </c>
      <c r="J405" s="10">
        <v>535.87</v>
      </c>
      <c r="K405" s="10">
        <v>5517.04</v>
      </c>
      <c r="L405" s="8" t="s">
        <v>21</v>
      </c>
      <c r="M405" s="8" t="s">
        <v>22</v>
      </c>
      <c r="N405" s="10">
        <v>105.52</v>
      </c>
      <c r="O405" s="10">
        <v>489.78</v>
      </c>
      <c r="P405" s="8" t="s">
        <v>52</v>
      </c>
      <c r="Q405" s="10">
        <v>22.22</v>
      </c>
      <c r="R405" s="10">
        <f xml:space="preserve"> Table1_2[[#This Row],[Yield (Kg/Ha)]]/Table1_2[[#This Row],[Area (Hectares)]]</f>
        <v>56.800576546895918</v>
      </c>
      <c r="S405" s="10">
        <f>Table1_2[[#This Row],[Yield per Acre]]/Table1_2[[#This Row],[Yield (Kg/Ha)]]</f>
        <v>1.0295480284155258E-2</v>
      </c>
      <c r="T405" s="11">
        <f>Table1_2[[#This Row],[Yield per Acre]]/N405</f>
        <v>0.53829204460667102</v>
      </c>
    </row>
    <row r="406" spans="1:20" x14ac:dyDescent="0.3">
      <c r="A406" s="8" t="s">
        <v>471</v>
      </c>
      <c r="B406" s="9">
        <v>2021</v>
      </c>
      <c r="C406" s="9" t="str">
        <f t="shared" si="6"/>
        <v>1905-07</v>
      </c>
      <c r="D406" s="10">
        <v>2021</v>
      </c>
      <c r="E406" s="8" t="s">
        <v>36</v>
      </c>
      <c r="F406" s="8" t="s">
        <v>77</v>
      </c>
      <c r="G406" s="8" t="s">
        <v>33</v>
      </c>
      <c r="H406" s="8" t="s">
        <v>27</v>
      </c>
      <c r="I406" s="10">
        <v>40.520000000000003</v>
      </c>
      <c r="J406" s="10">
        <v>61.2</v>
      </c>
      <c r="K406" s="10">
        <v>1510.47</v>
      </c>
      <c r="L406" s="8" t="s">
        <v>28</v>
      </c>
      <c r="M406" s="8" t="s">
        <v>29</v>
      </c>
      <c r="N406" s="10">
        <v>243.46</v>
      </c>
      <c r="O406" s="10">
        <v>330.38</v>
      </c>
      <c r="P406" s="8" t="s">
        <v>42</v>
      </c>
      <c r="Q406" s="10">
        <v>27.21</v>
      </c>
      <c r="R406" s="10">
        <f xml:space="preserve"> Table1_2[[#This Row],[Yield (Kg/Ha)]]/Table1_2[[#This Row],[Area (Hectares)]]</f>
        <v>37.277147087857848</v>
      </c>
      <c r="S406" s="10">
        <f>Table1_2[[#This Row],[Yield per Acre]]/Table1_2[[#This Row],[Yield (Kg/Ha)]]</f>
        <v>2.4679170779861797E-2</v>
      </c>
      <c r="T406" s="11">
        <f>Table1_2[[#This Row],[Yield per Acre]]/N406</f>
        <v>0.1531140519504553</v>
      </c>
    </row>
    <row r="407" spans="1:20" x14ac:dyDescent="0.3">
      <c r="A407" s="8" t="s">
        <v>472</v>
      </c>
      <c r="B407" s="9">
        <v>2019</v>
      </c>
      <c r="C407" s="9" t="str">
        <f t="shared" si="6"/>
        <v>1905-07</v>
      </c>
      <c r="D407" s="10">
        <v>2019</v>
      </c>
      <c r="E407" s="8" t="s">
        <v>36</v>
      </c>
      <c r="F407" s="8" t="s">
        <v>77</v>
      </c>
      <c r="G407" s="8" t="s">
        <v>33</v>
      </c>
      <c r="H407" s="8" t="s">
        <v>27</v>
      </c>
      <c r="I407" s="10">
        <v>61.98</v>
      </c>
      <c r="J407" s="10">
        <v>335.56</v>
      </c>
      <c r="K407" s="10">
        <v>5414.01</v>
      </c>
      <c r="L407" s="8" t="s">
        <v>40</v>
      </c>
      <c r="M407" s="8" t="s">
        <v>22</v>
      </c>
      <c r="N407" s="10">
        <v>110.58</v>
      </c>
      <c r="O407" s="10">
        <v>466.26</v>
      </c>
      <c r="P407" s="8" t="s">
        <v>52</v>
      </c>
      <c r="Q407" s="10">
        <v>24.85</v>
      </c>
      <c r="R407" s="10">
        <f xml:space="preserve"> Table1_2[[#This Row],[Yield (Kg/Ha)]]/Table1_2[[#This Row],[Area (Hectares)]]</f>
        <v>87.35091965150049</v>
      </c>
      <c r="S407" s="10">
        <f>Table1_2[[#This Row],[Yield per Acre]]/Table1_2[[#This Row],[Yield (Kg/Ha)]]</f>
        <v>1.6134236850596968E-2</v>
      </c>
      <c r="T407" s="11">
        <f>Table1_2[[#This Row],[Yield per Acre]]/N407</f>
        <v>0.78993416215862267</v>
      </c>
    </row>
    <row r="408" spans="1:20" x14ac:dyDescent="0.3">
      <c r="A408" s="8" t="s">
        <v>473</v>
      </c>
      <c r="B408" s="9">
        <v>2017</v>
      </c>
      <c r="C408" s="9" t="str">
        <f t="shared" si="6"/>
        <v>1905-07</v>
      </c>
      <c r="D408" s="10">
        <v>2016</v>
      </c>
      <c r="E408" s="8" t="s">
        <v>25</v>
      </c>
      <c r="F408" s="8" t="s">
        <v>69</v>
      </c>
      <c r="G408" s="8" t="s">
        <v>38</v>
      </c>
      <c r="H408" s="8" t="s">
        <v>20</v>
      </c>
      <c r="I408" s="10">
        <v>35.479999999999997</v>
      </c>
      <c r="J408" s="10">
        <v>103.76</v>
      </c>
      <c r="K408" s="10">
        <v>2924.43</v>
      </c>
      <c r="L408" s="8" t="s">
        <v>21</v>
      </c>
      <c r="M408" s="8" t="s">
        <v>47</v>
      </c>
      <c r="N408" s="10">
        <v>242.42</v>
      </c>
      <c r="O408" s="10">
        <v>369.26</v>
      </c>
      <c r="P408" s="8" t="s">
        <v>70</v>
      </c>
      <c r="Q408" s="10">
        <v>29.24</v>
      </c>
      <c r="R408" s="10">
        <f xml:space="preserve"> Table1_2[[#This Row],[Yield (Kg/Ha)]]/Table1_2[[#This Row],[Area (Hectares)]]</f>
        <v>82.424746335963931</v>
      </c>
      <c r="S408" s="10">
        <f>Table1_2[[#This Row],[Yield per Acre]]/Table1_2[[#This Row],[Yield (Kg/Ha)]]</f>
        <v>2.8184892897406996E-2</v>
      </c>
      <c r="T408" s="11">
        <f>Table1_2[[#This Row],[Yield per Acre]]/N408</f>
        <v>0.34000802877635483</v>
      </c>
    </row>
    <row r="409" spans="1:20" x14ac:dyDescent="0.3">
      <c r="A409" s="8" t="s">
        <v>474</v>
      </c>
      <c r="B409" s="9">
        <v>2010</v>
      </c>
      <c r="C409" s="9" t="str">
        <f t="shared" si="6"/>
        <v>1905-07</v>
      </c>
      <c r="D409" s="10">
        <v>2010</v>
      </c>
      <c r="E409" s="8" t="s">
        <v>103</v>
      </c>
      <c r="F409" s="8" t="s">
        <v>107</v>
      </c>
      <c r="G409" s="8" t="s">
        <v>33</v>
      </c>
      <c r="H409" s="8" t="s">
        <v>56</v>
      </c>
      <c r="I409" s="10">
        <v>68.849999999999994</v>
      </c>
      <c r="J409" s="10">
        <v>133.29</v>
      </c>
      <c r="K409" s="10">
        <v>1935.95</v>
      </c>
      <c r="L409" s="8" t="s">
        <v>21</v>
      </c>
      <c r="M409" s="8" t="s">
        <v>22</v>
      </c>
      <c r="N409" s="10">
        <v>78.09</v>
      </c>
      <c r="O409" s="10">
        <v>254.54</v>
      </c>
      <c r="P409" s="8" t="s">
        <v>61</v>
      </c>
      <c r="Q409" s="10">
        <v>33.9</v>
      </c>
      <c r="R409" s="10">
        <f xml:space="preserve"> Table1_2[[#This Row],[Yield (Kg/Ha)]]/Table1_2[[#This Row],[Area (Hectares)]]</f>
        <v>28.118373275236024</v>
      </c>
      <c r="S409" s="10">
        <f>Table1_2[[#This Row],[Yield per Acre]]/Table1_2[[#This Row],[Yield (Kg/Ha)]]</f>
        <v>1.4524328249818447E-2</v>
      </c>
      <c r="T409" s="11">
        <f>Table1_2[[#This Row],[Yield per Acre]]/N409</f>
        <v>0.36007649219152288</v>
      </c>
    </row>
    <row r="410" spans="1:20" x14ac:dyDescent="0.3">
      <c r="A410" s="8" t="s">
        <v>475</v>
      </c>
      <c r="B410" s="9">
        <v>2022</v>
      </c>
      <c r="C410" s="9" t="str">
        <f t="shared" si="6"/>
        <v>1905-07</v>
      </c>
      <c r="D410" s="10">
        <v>2022</v>
      </c>
      <c r="E410" s="8" t="s">
        <v>31</v>
      </c>
      <c r="F410" s="8" t="s">
        <v>117</v>
      </c>
      <c r="G410" s="8" t="s">
        <v>33</v>
      </c>
      <c r="H410" s="8" t="s">
        <v>20</v>
      </c>
      <c r="I410" s="10">
        <v>45.56</v>
      </c>
      <c r="J410" s="10">
        <v>51.78</v>
      </c>
      <c r="K410" s="10">
        <v>1136.49</v>
      </c>
      <c r="L410" s="8" t="s">
        <v>40</v>
      </c>
      <c r="M410" s="8" t="s">
        <v>47</v>
      </c>
      <c r="N410" s="10">
        <v>235</v>
      </c>
      <c r="O410" s="10">
        <v>411.88</v>
      </c>
      <c r="P410" s="8" t="s">
        <v>61</v>
      </c>
      <c r="Q410" s="10">
        <v>27.85</v>
      </c>
      <c r="R410" s="10">
        <f xml:space="preserve"> Table1_2[[#This Row],[Yield (Kg/Ha)]]/Table1_2[[#This Row],[Area (Hectares)]]</f>
        <v>24.944907813871815</v>
      </c>
      <c r="S410" s="10">
        <f>Table1_2[[#This Row],[Yield per Acre]]/Table1_2[[#This Row],[Yield (Kg/Ha)]]</f>
        <v>2.1949078138718173E-2</v>
      </c>
      <c r="T410" s="11">
        <f>Table1_2[[#This Row],[Yield per Acre]]/N410</f>
        <v>0.10614854388881624</v>
      </c>
    </row>
    <row r="411" spans="1:20" x14ac:dyDescent="0.3">
      <c r="A411" s="8" t="s">
        <v>476</v>
      </c>
      <c r="B411" s="9">
        <v>2021</v>
      </c>
      <c r="C411" s="9" t="str">
        <f t="shared" si="6"/>
        <v>1905-07</v>
      </c>
      <c r="D411" s="10">
        <v>2021</v>
      </c>
      <c r="E411" s="8" t="s">
        <v>36</v>
      </c>
      <c r="F411" s="8" t="s">
        <v>77</v>
      </c>
      <c r="G411" s="8" t="s">
        <v>33</v>
      </c>
      <c r="H411" s="8" t="s">
        <v>39</v>
      </c>
      <c r="I411" s="10">
        <v>70.180000000000007</v>
      </c>
      <c r="J411" s="10">
        <v>77.92</v>
      </c>
      <c r="K411" s="10">
        <v>1110.33</v>
      </c>
      <c r="L411" s="8" t="s">
        <v>21</v>
      </c>
      <c r="M411" s="8" t="s">
        <v>22</v>
      </c>
      <c r="N411" s="10">
        <v>113.86</v>
      </c>
      <c r="O411" s="10">
        <v>260.11</v>
      </c>
      <c r="P411" s="8" t="s">
        <v>42</v>
      </c>
      <c r="Q411" s="10">
        <v>31.84</v>
      </c>
      <c r="R411" s="10">
        <f xml:space="preserve"> Table1_2[[#This Row],[Yield (Kg/Ha)]]/Table1_2[[#This Row],[Area (Hectares)]]</f>
        <v>15.821174123681958</v>
      </c>
      <c r="S411" s="10">
        <f>Table1_2[[#This Row],[Yield per Acre]]/Table1_2[[#This Row],[Yield (Kg/Ha)]]</f>
        <v>1.4249073810202335E-2</v>
      </c>
      <c r="T411" s="11">
        <f>Table1_2[[#This Row],[Yield per Acre]]/N411</f>
        <v>0.13895287303426979</v>
      </c>
    </row>
    <row r="412" spans="1:20" x14ac:dyDescent="0.3">
      <c r="A412" s="8" t="s">
        <v>477</v>
      </c>
      <c r="B412" s="9">
        <v>2010</v>
      </c>
      <c r="C412" s="9" t="str">
        <f t="shared" si="6"/>
        <v>1905-07</v>
      </c>
      <c r="D412" s="10">
        <v>2010</v>
      </c>
      <c r="E412" s="8" t="s">
        <v>36</v>
      </c>
      <c r="F412" s="8" t="s">
        <v>77</v>
      </c>
      <c r="G412" s="8" t="s">
        <v>33</v>
      </c>
      <c r="H412" s="8" t="s">
        <v>46</v>
      </c>
      <c r="I412" s="10">
        <v>66.38</v>
      </c>
      <c r="J412" s="10">
        <v>330.43</v>
      </c>
      <c r="K412" s="10">
        <v>4977.8900000000003</v>
      </c>
      <c r="L412" s="8" t="s">
        <v>34</v>
      </c>
      <c r="M412" s="8" t="s">
        <v>47</v>
      </c>
      <c r="N412" s="10">
        <v>266.07</v>
      </c>
      <c r="O412" s="10">
        <v>219.08</v>
      </c>
      <c r="P412" s="8" t="s">
        <v>52</v>
      </c>
      <c r="Q412" s="10">
        <v>23.47</v>
      </c>
      <c r="R412" s="10">
        <f xml:space="preserve"> Table1_2[[#This Row],[Yield (Kg/Ha)]]/Table1_2[[#This Row],[Area (Hectares)]]</f>
        <v>74.990810485085873</v>
      </c>
      <c r="S412" s="10">
        <f>Table1_2[[#This Row],[Yield per Acre]]/Table1_2[[#This Row],[Yield (Kg/Ha)]]</f>
        <v>1.5064778547755347E-2</v>
      </c>
      <c r="T412" s="11">
        <f>Table1_2[[#This Row],[Yield per Acre]]/N412</f>
        <v>0.28184617012472613</v>
      </c>
    </row>
    <row r="413" spans="1:20" x14ac:dyDescent="0.3">
      <c r="A413" s="8" t="s">
        <v>478</v>
      </c>
      <c r="B413" s="9">
        <v>2016</v>
      </c>
      <c r="C413" s="9" t="str">
        <f t="shared" si="6"/>
        <v>1905-07</v>
      </c>
      <c r="D413" s="10">
        <v>2015</v>
      </c>
      <c r="E413" s="8" t="s">
        <v>17</v>
      </c>
      <c r="F413" s="8" t="s">
        <v>18</v>
      </c>
      <c r="G413" s="8" t="s">
        <v>38</v>
      </c>
      <c r="H413" s="8" t="s">
        <v>27</v>
      </c>
      <c r="I413" s="10">
        <v>53.62</v>
      </c>
      <c r="J413" s="10">
        <v>113.59</v>
      </c>
      <c r="K413" s="10">
        <v>2118.5</v>
      </c>
      <c r="L413" s="8" t="s">
        <v>28</v>
      </c>
      <c r="M413" s="8" t="s">
        <v>49</v>
      </c>
      <c r="N413" s="10">
        <v>190.17</v>
      </c>
      <c r="O413" s="10">
        <v>912.47</v>
      </c>
      <c r="P413" s="8" t="s">
        <v>23</v>
      </c>
      <c r="Q413" s="10">
        <v>23.71</v>
      </c>
      <c r="R413" s="10">
        <f xml:space="preserve"> Table1_2[[#This Row],[Yield (Kg/Ha)]]/Table1_2[[#This Row],[Area (Hectares)]]</f>
        <v>39.509511376352108</v>
      </c>
      <c r="S413" s="10">
        <f>Table1_2[[#This Row],[Yield per Acre]]/Table1_2[[#This Row],[Yield (Kg/Ha)]]</f>
        <v>1.8649757553151809E-2</v>
      </c>
      <c r="T413" s="11">
        <f>Table1_2[[#This Row],[Yield per Acre]]/N413</f>
        <v>0.20775890716912296</v>
      </c>
    </row>
    <row r="414" spans="1:20" x14ac:dyDescent="0.3">
      <c r="A414" s="8" t="s">
        <v>479</v>
      </c>
      <c r="B414" s="9">
        <v>2016</v>
      </c>
      <c r="C414" s="9" t="str">
        <f t="shared" si="6"/>
        <v>1905-07</v>
      </c>
      <c r="D414" s="10">
        <v>2016</v>
      </c>
      <c r="E414" s="8" t="s">
        <v>31</v>
      </c>
      <c r="F414" s="8" t="s">
        <v>32</v>
      </c>
      <c r="G414" s="8" t="s">
        <v>19</v>
      </c>
      <c r="H414" s="8" t="s">
        <v>56</v>
      </c>
      <c r="I414" s="10">
        <v>2.82</v>
      </c>
      <c r="J414" s="10">
        <v>14.4</v>
      </c>
      <c r="K414" s="10">
        <v>5105.87</v>
      </c>
      <c r="L414" s="8" t="s">
        <v>34</v>
      </c>
      <c r="M414" s="8" t="s">
        <v>49</v>
      </c>
      <c r="N414" s="10">
        <v>206.31</v>
      </c>
      <c r="O414" s="10">
        <v>436.2</v>
      </c>
      <c r="P414" s="8" t="s">
        <v>61</v>
      </c>
      <c r="Q414" s="10">
        <v>24.14</v>
      </c>
      <c r="R414" s="10">
        <f xml:space="preserve"> Table1_2[[#This Row],[Yield (Kg/Ha)]]/Table1_2[[#This Row],[Area (Hectares)]]</f>
        <v>1810.5921985815603</v>
      </c>
      <c r="S414" s="10">
        <f>Table1_2[[#This Row],[Yield per Acre]]/Table1_2[[#This Row],[Yield (Kg/Ha)]]</f>
        <v>0.3546099290780142</v>
      </c>
      <c r="T414" s="11">
        <f>Table1_2[[#This Row],[Yield per Acre]]/N414</f>
        <v>8.7760758013744375</v>
      </c>
    </row>
    <row r="415" spans="1:20" x14ac:dyDescent="0.3">
      <c r="A415" s="8" t="s">
        <v>480</v>
      </c>
      <c r="B415" s="9">
        <v>2018</v>
      </c>
      <c r="C415" s="9" t="str">
        <f t="shared" si="6"/>
        <v>1905-07</v>
      </c>
      <c r="D415" s="10">
        <v>2018</v>
      </c>
      <c r="E415" s="8" t="s">
        <v>36</v>
      </c>
      <c r="F415" s="8" t="s">
        <v>37</v>
      </c>
      <c r="G415" s="8" t="s">
        <v>38</v>
      </c>
      <c r="H415" s="8" t="s">
        <v>56</v>
      </c>
      <c r="I415" s="10">
        <v>16.02</v>
      </c>
      <c r="J415" s="10">
        <v>102.26</v>
      </c>
      <c r="K415" s="10">
        <v>6383.05</v>
      </c>
      <c r="L415" s="8" t="s">
        <v>40</v>
      </c>
      <c r="M415" s="8" t="s">
        <v>29</v>
      </c>
      <c r="N415" s="10">
        <v>71.95</v>
      </c>
      <c r="O415" s="10">
        <v>582.21</v>
      </c>
      <c r="P415" s="8" t="s">
        <v>61</v>
      </c>
      <c r="Q415" s="10">
        <v>33.090000000000003</v>
      </c>
      <c r="R415" s="10">
        <f xml:space="preserve"> Table1_2[[#This Row],[Yield (Kg/Ha)]]/Table1_2[[#This Row],[Area (Hectares)]]</f>
        <v>398.44257178526846</v>
      </c>
      <c r="S415" s="10">
        <f>Table1_2[[#This Row],[Yield per Acre]]/Table1_2[[#This Row],[Yield (Kg/Ha)]]</f>
        <v>6.2421972534332092E-2</v>
      </c>
      <c r="T415" s="11">
        <f>Table1_2[[#This Row],[Yield per Acre]]/N415</f>
        <v>5.5377702819356278</v>
      </c>
    </row>
    <row r="416" spans="1:20" x14ac:dyDescent="0.3">
      <c r="A416" s="8" t="s">
        <v>481</v>
      </c>
      <c r="B416" s="9">
        <v>2012</v>
      </c>
      <c r="C416" s="9" t="str">
        <f t="shared" si="6"/>
        <v>1905-07</v>
      </c>
      <c r="D416" s="10">
        <v>2012</v>
      </c>
      <c r="E416" s="8" t="s">
        <v>103</v>
      </c>
      <c r="F416" s="8" t="s">
        <v>228</v>
      </c>
      <c r="G416" s="8" t="s">
        <v>38</v>
      </c>
      <c r="H416" s="8" t="s">
        <v>20</v>
      </c>
      <c r="I416" s="10">
        <v>91.06</v>
      </c>
      <c r="J416" s="10">
        <v>270.97000000000003</v>
      </c>
      <c r="K416" s="10">
        <v>2975.71</v>
      </c>
      <c r="L416" s="8" t="s">
        <v>40</v>
      </c>
      <c r="M416" s="8" t="s">
        <v>41</v>
      </c>
      <c r="N416" s="10">
        <v>101.69</v>
      </c>
      <c r="O416" s="10">
        <v>338.58</v>
      </c>
      <c r="P416" s="8" t="s">
        <v>61</v>
      </c>
      <c r="Q416" s="10">
        <v>30.26</v>
      </c>
      <c r="R416" s="10">
        <f xml:space="preserve"> Table1_2[[#This Row],[Yield (Kg/Ha)]]/Table1_2[[#This Row],[Area (Hectares)]]</f>
        <v>32.678563584449812</v>
      </c>
      <c r="S416" s="10">
        <f>Table1_2[[#This Row],[Yield per Acre]]/Table1_2[[#This Row],[Yield (Kg/Ha)]]</f>
        <v>1.0981770261366132E-2</v>
      </c>
      <c r="T416" s="11">
        <f>Table1_2[[#This Row],[Yield per Acre]]/N416</f>
        <v>0.32135474072622494</v>
      </c>
    </row>
    <row r="417" spans="1:20" x14ac:dyDescent="0.3">
      <c r="A417" s="8" t="s">
        <v>482</v>
      </c>
      <c r="B417" s="9">
        <v>2021</v>
      </c>
      <c r="C417" s="9" t="str">
        <f t="shared" si="6"/>
        <v>1905-07</v>
      </c>
      <c r="D417" s="10">
        <v>2021</v>
      </c>
      <c r="E417" s="8" t="s">
        <v>31</v>
      </c>
      <c r="F417" s="8" t="s">
        <v>117</v>
      </c>
      <c r="G417" s="8" t="s">
        <v>19</v>
      </c>
      <c r="H417" s="8" t="s">
        <v>56</v>
      </c>
      <c r="I417" s="10">
        <v>43.58</v>
      </c>
      <c r="J417" s="10">
        <v>281.27</v>
      </c>
      <c r="K417" s="10">
        <v>6454.01</v>
      </c>
      <c r="L417" s="8" t="s">
        <v>40</v>
      </c>
      <c r="M417" s="8" t="s">
        <v>47</v>
      </c>
      <c r="N417" s="10">
        <v>214.06</v>
      </c>
      <c r="O417" s="10">
        <v>764.84</v>
      </c>
      <c r="P417" s="8" t="s">
        <v>42</v>
      </c>
      <c r="Q417" s="10">
        <v>24.76</v>
      </c>
      <c r="R417" s="10">
        <f xml:space="preserve"> Table1_2[[#This Row],[Yield (Kg/Ha)]]/Table1_2[[#This Row],[Area (Hectares)]]</f>
        <v>148.09568609453879</v>
      </c>
      <c r="S417" s="10">
        <f>Table1_2[[#This Row],[Yield per Acre]]/Table1_2[[#This Row],[Yield (Kg/Ha)]]</f>
        <v>2.2946305644791189E-2</v>
      </c>
      <c r="T417" s="11">
        <f>Table1_2[[#This Row],[Yield per Acre]]/N417</f>
        <v>0.6918419419533719</v>
      </c>
    </row>
    <row r="418" spans="1:20" x14ac:dyDescent="0.3">
      <c r="A418" s="8" t="s">
        <v>483</v>
      </c>
      <c r="B418" s="9">
        <v>2012</v>
      </c>
      <c r="C418" s="9" t="str">
        <f t="shared" si="6"/>
        <v>1905-07</v>
      </c>
      <c r="D418" s="10">
        <v>2012</v>
      </c>
      <c r="E418" s="8" t="s">
        <v>17</v>
      </c>
      <c r="F418" s="8" t="s">
        <v>18</v>
      </c>
      <c r="G418" s="8" t="s">
        <v>38</v>
      </c>
      <c r="H418" s="8" t="s">
        <v>56</v>
      </c>
      <c r="I418" s="10">
        <v>72.98</v>
      </c>
      <c r="J418" s="10">
        <v>408.15</v>
      </c>
      <c r="K418" s="10">
        <v>5592.61</v>
      </c>
      <c r="L418" s="8" t="s">
        <v>28</v>
      </c>
      <c r="M418" s="8" t="s">
        <v>22</v>
      </c>
      <c r="N418" s="10">
        <v>290.3</v>
      </c>
      <c r="O418" s="10">
        <v>503.35</v>
      </c>
      <c r="P418" s="8" t="s">
        <v>70</v>
      </c>
      <c r="Q418" s="10">
        <v>22.28</v>
      </c>
      <c r="R418" s="10">
        <f xml:space="preserve"> Table1_2[[#This Row],[Yield (Kg/Ha)]]/Table1_2[[#This Row],[Area (Hectares)]]</f>
        <v>76.632090983831176</v>
      </c>
      <c r="S418" s="10">
        <f>Table1_2[[#This Row],[Yield per Acre]]/Table1_2[[#This Row],[Yield (Kg/Ha)]]</f>
        <v>1.3702384214853383E-2</v>
      </c>
      <c r="T418" s="11">
        <f>Table1_2[[#This Row],[Yield per Acre]]/N418</f>
        <v>0.26397551148408949</v>
      </c>
    </row>
    <row r="419" spans="1:20" x14ac:dyDescent="0.3">
      <c r="A419" s="8" t="s">
        <v>484</v>
      </c>
      <c r="B419" s="9">
        <v>2010</v>
      </c>
      <c r="C419" s="9" t="str">
        <f t="shared" si="6"/>
        <v>1905-07</v>
      </c>
      <c r="D419" s="10">
        <v>2010</v>
      </c>
      <c r="E419" s="8" t="s">
        <v>103</v>
      </c>
      <c r="F419" s="8" t="s">
        <v>104</v>
      </c>
      <c r="G419" s="8" t="s">
        <v>19</v>
      </c>
      <c r="H419" s="8" t="s">
        <v>27</v>
      </c>
      <c r="I419" s="10">
        <v>27.42</v>
      </c>
      <c r="J419" s="10">
        <v>120.71</v>
      </c>
      <c r="K419" s="10">
        <v>4402.26</v>
      </c>
      <c r="L419" s="8" t="s">
        <v>40</v>
      </c>
      <c r="M419" s="8" t="s">
        <v>29</v>
      </c>
      <c r="N419" s="10">
        <v>199.09</v>
      </c>
      <c r="O419" s="10">
        <v>430.91</v>
      </c>
      <c r="P419" s="8" t="s">
        <v>23</v>
      </c>
      <c r="Q419" s="10">
        <v>25.39</v>
      </c>
      <c r="R419" s="10">
        <f xml:space="preserve"> Table1_2[[#This Row],[Yield (Kg/Ha)]]/Table1_2[[#This Row],[Area (Hectares)]]</f>
        <v>160.5492341356674</v>
      </c>
      <c r="S419" s="10">
        <f>Table1_2[[#This Row],[Yield per Acre]]/Table1_2[[#This Row],[Yield (Kg/Ha)]]</f>
        <v>3.6469730123997082E-2</v>
      </c>
      <c r="T419" s="11">
        <f>Table1_2[[#This Row],[Yield per Acre]]/N419</f>
        <v>0.8064153605689256</v>
      </c>
    </row>
    <row r="420" spans="1:20" x14ac:dyDescent="0.3">
      <c r="A420" s="8" t="s">
        <v>485</v>
      </c>
      <c r="B420" s="9">
        <v>2020</v>
      </c>
      <c r="C420" s="9" t="str">
        <f t="shared" si="6"/>
        <v>1905-07</v>
      </c>
      <c r="D420" s="10">
        <v>2019</v>
      </c>
      <c r="E420" s="8" t="s">
        <v>103</v>
      </c>
      <c r="F420" s="8" t="s">
        <v>228</v>
      </c>
      <c r="G420" s="8" t="s">
        <v>38</v>
      </c>
      <c r="H420" s="8" t="s">
        <v>39</v>
      </c>
      <c r="I420" s="10">
        <v>65.31</v>
      </c>
      <c r="J420" s="10">
        <v>137.4</v>
      </c>
      <c r="K420" s="10">
        <v>2103.86</v>
      </c>
      <c r="L420" s="8" t="s">
        <v>28</v>
      </c>
      <c r="M420" s="8" t="s">
        <v>22</v>
      </c>
      <c r="N420" s="10">
        <v>172.86</v>
      </c>
      <c r="O420" s="10">
        <v>337.51</v>
      </c>
      <c r="P420" s="8" t="s">
        <v>42</v>
      </c>
      <c r="Q420" s="10">
        <v>23.39</v>
      </c>
      <c r="R420" s="10">
        <f xml:space="preserve"> Table1_2[[#This Row],[Yield (Kg/Ha)]]/Table1_2[[#This Row],[Area (Hectares)]]</f>
        <v>32.213443576787633</v>
      </c>
      <c r="S420" s="10">
        <f>Table1_2[[#This Row],[Yield per Acre]]/Table1_2[[#This Row],[Yield (Kg/Ha)]]</f>
        <v>1.531159087429184E-2</v>
      </c>
      <c r="T420" s="11">
        <f>Table1_2[[#This Row],[Yield per Acre]]/N420</f>
        <v>0.18635568423456919</v>
      </c>
    </row>
    <row r="421" spans="1:20" x14ac:dyDescent="0.3">
      <c r="A421" s="8" t="s">
        <v>486</v>
      </c>
      <c r="B421" s="9">
        <v>2013</v>
      </c>
      <c r="C421" s="9" t="str">
        <f t="shared" si="6"/>
        <v>1905-07</v>
      </c>
      <c r="D421" s="10">
        <v>2013</v>
      </c>
      <c r="E421" s="8" t="s">
        <v>31</v>
      </c>
      <c r="F421" s="8" t="s">
        <v>32</v>
      </c>
      <c r="G421" s="8" t="s">
        <v>19</v>
      </c>
      <c r="H421" s="8" t="s">
        <v>39</v>
      </c>
      <c r="I421" s="10">
        <v>98.84</v>
      </c>
      <c r="J421" s="10">
        <v>548.23</v>
      </c>
      <c r="K421" s="10">
        <v>5546.66</v>
      </c>
      <c r="L421" s="8" t="s">
        <v>21</v>
      </c>
      <c r="M421" s="8" t="s">
        <v>49</v>
      </c>
      <c r="N421" s="10">
        <v>94.27</v>
      </c>
      <c r="O421" s="10">
        <v>1154.7</v>
      </c>
      <c r="P421" s="8" t="s">
        <v>52</v>
      </c>
      <c r="Q421" s="10">
        <v>33.01</v>
      </c>
      <c r="R421" s="10">
        <f xml:space="preserve"> Table1_2[[#This Row],[Yield (Kg/Ha)]]/Table1_2[[#This Row],[Area (Hectares)]]</f>
        <v>56.11756373937677</v>
      </c>
      <c r="S421" s="10">
        <f>Table1_2[[#This Row],[Yield per Acre]]/Table1_2[[#This Row],[Yield (Kg/Ha)]]</f>
        <v>1.0117361392148928E-2</v>
      </c>
      <c r="T421" s="11">
        <f>Table1_2[[#This Row],[Yield per Acre]]/N421</f>
        <v>0.5952854963336881</v>
      </c>
    </row>
    <row r="422" spans="1:20" x14ac:dyDescent="0.3">
      <c r="A422" s="8" t="s">
        <v>487</v>
      </c>
      <c r="B422" s="9">
        <v>2014</v>
      </c>
      <c r="C422" s="9" t="str">
        <f t="shared" si="6"/>
        <v>1905-07</v>
      </c>
      <c r="D422" s="10">
        <v>2013</v>
      </c>
      <c r="E422" s="8" t="s">
        <v>44</v>
      </c>
      <c r="F422" s="8" t="s">
        <v>99</v>
      </c>
      <c r="G422" s="8" t="s">
        <v>38</v>
      </c>
      <c r="H422" s="8" t="s">
        <v>46</v>
      </c>
      <c r="I422" s="10">
        <v>77.849999999999994</v>
      </c>
      <c r="J422" s="10">
        <v>361.81</v>
      </c>
      <c r="K422" s="10">
        <v>4647.58</v>
      </c>
      <c r="L422" s="8" t="s">
        <v>28</v>
      </c>
      <c r="M422" s="8" t="s">
        <v>22</v>
      </c>
      <c r="N422" s="10">
        <v>230.05</v>
      </c>
      <c r="O422" s="10">
        <v>594.15</v>
      </c>
      <c r="P422" s="8" t="s">
        <v>61</v>
      </c>
      <c r="Q422" s="10">
        <v>28.91</v>
      </c>
      <c r="R422" s="10">
        <f xml:space="preserve"> Table1_2[[#This Row],[Yield (Kg/Ha)]]/Table1_2[[#This Row],[Area (Hectares)]]</f>
        <v>59.699165061014774</v>
      </c>
      <c r="S422" s="10">
        <f>Table1_2[[#This Row],[Yield per Acre]]/Table1_2[[#This Row],[Yield (Kg/Ha)]]</f>
        <v>1.2845215157353887E-2</v>
      </c>
      <c r="T422" s="11">
        <f>Table1_2[[#This Row],[Yield per Acre]]/N422</f>
        <v>0.25950517305374821</v>
      </c>
    </row>
    <row r="423" spans="1:20" x14ac:dyDescent="0.3">
      <c r="A423" s="8" t="s">
        <v>488</v>
      </c>
      <c r="B423" s="9">
        <v>2017</v>
      </c>
      <c r="C423" s="9" t="str">
        <f t="shared" si="6"/>
        <v>1905-07</v>
      </c>
      <c r="D423" s="10">
        <v>2017</v>
      </c>
      <c r="E423" s="8" t="s">
        <v>59</v>
      </c>
      <c r="F423" s="8" t="s">
        <v>60</v>
      </c>
      <c r="G423" s="8" t="s">
        <v>38</v>
      </c>
      <c r="H423" s="8" t="s">
        <v>64</v>
      </c>
      <c r="I423" s="10">
        <v>87.9</v>
      </c>
      <c r="J423" s="10">
        <v>217.49</v>
      </c>
      <c r="K423" s="10">
        <v>2474.33</v>
      </c>
      <c r="L423" s="8" t="s">
        <v>28</v>
      </c>
      <c r="M423" s="8" t="s">
        <v>41</v>
      </c>
      <c r="N423" s="10">
        <v>295.95999999999998</v>
      </c>
      <c r="O423" s="10">
        <v>239.25</v>
      </c>
      <c r="P423" s="8" t="s">
        <v>52</v>
      </c>
      <c r="Q423" s="10">
        <v>27.74</v>
      </c>
      <c r="R423" s="10">
        <f xml:space="preserve"> Table1_2[[#This Row],[Yield (Kg/Ha)]]/Table1_2[[#This Row],[Area (Hectares)]]</f>
        <v>28.149374288964729</v>
      </c>
      <c r="S423" s="10">
        <f>Table1_2[[#This Row],[Yield per Acre]]/Table1_2[[#This Row],[Yield (Kg/Ha)]]</f>
        <v>1.1376564277588168E-2</v>
      </c>
      <c r="T423" s="11">
        <f>Table1_2[[#This Row],[Yield per Acre]]/N423</f>
        <v>9.5112090447914355E-2</v>
      </c>
    </row>
    <row r="424" spans="1:20" x14ac:dyDescent="0.3">
      <c r="A424" s="8" t="s">
        <v>489</v>
      </c>
      <c r="B424" s="9">
        <v>2017</v>
      </c>
      <c r="C424" s="9" t="str">
        <f t="shared" si="6"/>
        <v>1905-07</v>
      </c>
      <c r="D424" s="10">
        <v>2016</v>
      </c>
      <c r="E424" s="8" t="s">
        <v>31</v>
      </c>
      <c r="F424" s="8" t="s">
        <v>32</v>
      </c>
      <c r="G424" s="8" t="s">
        <v>38</v>
      </c>
      <c r="H424" s="8" t="s">
        <v>20</v>
      </c>
      <c r="I424" s="10">
        <v>46.67</v>
      </c>
      <c r="J424" s="10">
        <v>164.97</v>
      </c>
      <c r="K424" s="10">
        <v>3534.77</v>
      </c>
      <c r="L424" s="8" t="s">
        <v>21</v>
      </c>
      <c r="M424" s="8" t="s">
        <v>22</v>
      </c>
      <c r="N424" s="10">
        <v>222.49</v>
      </c>
      <c r="O424" s="10">
        <v>1103.68</v>
      </c>
      <c r="P424" s="8" t="s">
        <v>52</v>
      </c>
      <c r="Q424" s="10">
        <v>32.450000000000003</v>
      </c>
      <c r="R424" s="10">
        <f xml:space="preserve"> Table1_2[[#This Row],[Yield (Kg/Ha)]]/Table1_2[[#This Row],[Area (Hectares)]]</f>
        <v>75.739661452753367</v>
      </c>
      <c r="S424" s="10">
        <f>Table1_2[[#This Row],[Yield per Acre]]/Table1_2[[#This Row],[Yield (Kg/Ha)]]</f>
        <v>2.1427040925648167E-2</v>
      </c>
      <c r="T424" s="11">
        <f>Table1_2[[#This Row],[Yield per Acre]]/N424</f>
        <v>0.34041827251900475</v>
      </c>
    </row>
    <row r="425" spans="1:20" x14ac:dyDescent="0.3">
      <c r="A425" s="8" t="s">
        <v>490</v>
      </c>
      <c r="B425" s="9">
        <v>2011</v>
      </c>
      <c r="C425" s="9" t="str">
        <f t="shared" si="6"/>
        <v>1905-07</v>
      </c>
      <c r="D425" s="10">
        <v>2011</v>
      </c>
      <c r="E425" s="8" t="s">
        <v>17</v>
      </c>
      <c r="F425" s="8" t="s">
        <v>54</v>
      </c>
      <c r="G425" s="8" t="s">
        <v>33</v>
      </c>
      <c r="H425" s="8" t="s">
        <v>27</v>
      </c>
      <c r="I425" s="10">
        <v>93.85</v>
      </c>
      <c r="J425" s="10">
        <v>485.83</v>
      </c>
      <c r="K425" s="10">
        <v>5176.68</v>
      </c>
      <c r="L425" s="8" t="s">
        <v>40</v>
      </c>
      <c r="M425" s="8" t="s">
        <v>41</v>
      </c>
      <c r="N425" s="10">
        <v>148.27000000000001</v>
      </c>
      <c r="O425" s="10">
        <v>523.46</v>
      </c>
      <c r="P425" s="8" t="s">
        <v>23</v>
      </c>
      <c r="Q425" s="10">
        <v>22.68</v>
      </c>
      <c r="R425" s="10">
        <f xml:space="preserve"> Table1_2[[#This Row],[Yield (Kg/Ha)]]/Table1_2[[#This Row],[Area (Hectares)]]</f>
        <v>55.159083644112954</v>
      </c>
      <c r="S425" s="10">
        <f>Table1_2[[#This Row],[Yield per Acre]]/Table1_2[[#This Row],[Yield (Kg/Ha)]]</f>
        <v>1.0655301012253596E-2</v>
      </c>
      <c r="T425" s="11">
        <f>Table1_2[[#This Row],[Yield per Acre]]/N425</f>
        <v>0.37201782993264282</v>
      </c>
    </row>
    <row r="426" spans="1:20" x14ac:dyDescent="0.3">
      <c r="A426" s="8" t="s">
        <v>491</v>
      </c>
      <c r="B426" s="9">
        <v>2015</v>
      </c>
      <c r="C426" s="9" t="str">
        <f t="shared" si="6"/>
        <v>1905-07</v>
      </c>
      <c r="D426" s="10">
        <v>2014</v>
      </c>
      <c r="E426" s="8" t="s">
        <v>36</v>
      </c>
      <c r="F426" s="8" t="s">
        <v>37</v>
      </c>
      <c r="G426" s="8" t="s">
        <v>38</v>
      </c>
      <c r="H426" s="8" t="s">
        <v>39</v>
      </c>
      <c r="I426" s="10">
        <v>65.209999999999994</v>
      </c>
      <c r="J426" s="10">
        <v>343.58</v>
      </c>
      <c r="K426" s="10">
        <v>5268.82</v>
      </c>
      <c r="L426" s="8" t="s">
        <v>40</v>
      </c>
      <c r="M426" s="8" t="s">
        <v>22</v>
      </c>
      <c r="N426" s="10">
        <v>229.59</v>
      </c>
      <c r="O426" s="10">
        <v>323.54000000000002</v>
      </c>
      <c r="P426" s="8" t="s">
        <v>23</v>
      </c>
      <c r="Q426" s="10">
        <v>30.59</v>
      </c>
      <c r="R426" s="10">
        <f xml:space="preserve"> Table1_2[[#This Row],[Yield (Kg/Ha)]]/Table1_2[[#This Row],[Area (Hectares)]]</f>
        <v>80.797730409446402</v>
      </c>
      <c r="S426" s="10">
        <f>Table1_2[[#This Row],[Yield per Acre]]/Table1_2[[#This Row],[Yield (Kg/Ha)]]</f>
        <v>1.5335071308081583E-2</v>
      </c>
      <c r="T426" s="11">
        <f>Table1_2[[#This Row],[Yield per Acre]]/N426</f>
        <v>0.3519218189356958</v>
      </c>
    </row>
    <row r="427" spans="1:20" x14ac:dyDescent="0.3">
      <c r="A427" s="8" t="s">
        <v>492</v>
      </c>
      <c r="B427" s="9">
        <v>2016</v>
      </c>
      <c r="C427" s="9" t="str">
        <f t="shared" si="6"/>
        <v>1905-07</v>
      </c>
      <c r="D427" s="10">
        <v>2016</v>
      </c>
      <c r="E427" s="8" t="s">
        <v>59</v>
      </c>
      <c r="F427" s="8" t="s">
        <v>93</v>
      </c>
      <c r="G427" s="8" t="s">
        <v>19</v>
      </c>
      <c r="H427" s="8" t="s">
        <v>27</v>
      </c>
      <c r="I427" s="10">
        <v>61.6</v>
      </c>
      <c r="J427" s="10">
        <v>120.7</v>
      </c>
      <c r="K427" s="10">
        <v>1959.4</v>
      </c>
      <c r="L427" s="8" t="s">
        <v>28</v>
      </c>
      <c r="M427" s="8" t="s">
        <v>41</v>
      </c>
      <c r="N427" s="10">
        <v>60.98</v>
      </c>
      <c r="O427" s="10">
        <v>370.88</v>
      </c>
      <c r="P427" s="8" t="s">
        <v>70</v>
      </c>
      <c r="Q427" s="10">
        <v>28.48</v>
      </c>
      <c r="R427" s="10">
        <f xml:space="preserve"> Table1_2[[#This Row],[Yield (Kg/Ha)]]/Table1_2[[#This Row],[Area (Hectares)]]</f>
        <v>31.808441558441558</v>
      </c>
      <c r="S427" s="10">
        <f>Table1_2[[#This Row],[Yield per Acre]]/Table1_2[[#This Row],[Yield (Kg/Ha)]]</f>
        <v>1.6233766233766232E-2</v>
      </c>
      <c r="T427" s="11">
        <f>Table1_2[[#This Row],[Yield per Acre]]/N427</f>
        <v>0.52162088485473201</v>
      </c>
    </row>
    <row r="428" spans="1:20" x14ac:dyDescent="0.3">
      <c r="A428" s="8" t="s">
        <v>493</v>
      </c>
      <c r="B428" s="9">
        <v>2012</v>
      </c>
      <c r="C428" s="9" t="str">
        <f t="shared" si="6"/>
        <v>1905-07</v>
      </c>
      <c r="D428" s="10">
        <v>2012</v>
      </c>
      <c r="E428" s="8" t="s">
        <v>103</v>
      </c>
      <c r="F428" s="8" t="s">
        <v>104</v>
      </c>
      <c r="G428" s="8" t="s">
        <v>19</v>
      </c>
      <c r="H428" s="8" t="s">
        <v>64</v>
      </c>
      <c r="I428" s="10">
        <v>42.54</v>
      </c>
      <c r="J428" s="10">
        <v>121.54</v>
      </c>
      <c r="K428" s="10">
        <v>2857.11</v>
      </c>
      <c r="L428" s="8" t="s">
        <v>28</v>
      </c>
      <c r="M428" s="8" t="s">
        <v>47</v>
      </c>
      <c r="N428" s="10">
        <v>122.2</v>
      </c>
      <c r="O428" s="10">
        <v>380.7</v>
      </c>
      <c r="P428" s="8" t="s">
        <v>42</v>
      </c>
      <c r="Q428" s="10">
        <v>34.409999999999997</v>
      </c>
      <c r="R428" s="10">
        <f xml:space="preserve"> Table1_2[[#This Row],[Yield (Kg/Ha)]]/Table1_2[[#This Row],[Area (Hectares)]]</f>
        <v>67.162905500705222</v>
      </c>
      <c r="S428" s="10">
        <f>Table1_2[[#This Row],[Yield per Acre]]/Table1_2[[#This Row],[Yield (Kg/Ha)]]</f>
        <v>2.3507287259050307E-2</v>
      </c>
      <c r="T428" s="11">
        <f>Table1_2[[#This Row],[Yield per Acre]]/N428</f>
        <v>0.54961461129873335</v>
      </c>
    </row>
    <row r="429" spans="1:20" x14ac:dyDescent="0.3">
      <c r="A429" s="8" t="s">
        <v>494</v>
      </c>
      <c r="B429" s="9">
        <v>2011</v>
      </c>
      <c r="C429" s="9" t="str">
        <f t="shared" si="6"/>
        <v>1905-07</v>
      </c>
      <c r="D429" s="10">
        <v>2010</v>
      </c>
      <c r="E429" s="8" t="s">
        <v>44</v>
      </c>
      <c r="F429" s="8" t="s">
        <v>99</v>
      </c>
      <c r="G429" s="8" t="s">
        <v>38</v>
      </c>
      <c r="H429" s="8" t="s">
        <v>46</v>
      </c>
      <c r="I429" s="10">
        <v>85.69</v>
      </c>
      <c r="J429" s="10">
        <v>365.13</v>
      </c>
      <c r="K429" s="10">
        <v>4261.01</v>
      </c>
      <c r="L429" s="8" t="s">
        <v>21</v>
      </c>
      <c r="M429" s="8" t="s">
        <v>29</v>
      </c>
      <c r="N429" s="10">
        <v>202</v>
      </c>
      <c r="O429" s="10">
        <v>693.47</v>
      </c>
      <c r="P429" s="8" t="s">
        <v>42</v>
      </c>
      <c r="Q429" s="10">
        <v>28.83</v>
      </c>
      <c r="R429" s="10">
        <f xml:space="preserve"> Table1_2[[#This Row],[Yield (Kg/Ha)]]/Table1_2[[#This Row],[Area (Hectares)]]</f>
        <v>49.725872330493644</v>
      </c>
      <c r="S429" s="10">
        <f>Table1_2[[#This Row],[Yield per Acre]]/Table1_2[[#This Row],[Yield (Kg/Ha)]]</f>
        <v>1.1669973159061734E-2</v>
      </c>
      <c r="T429" s="11">
        <f>Table1_2[[#This Row],[Yield per Acre]]/N429</f>
        <v>0.24616768480442397</v>
      </c>
    </row>
    <row r="430" spans="1:20" x14ac:dyDescent="0.3">
      <c r="A430" s="8" t="s">
        <v>495</v>
      </c>
      <c r="B430" s="9">
        <v>2011</v>
      </c>
      <c r="C430" s="9" t="str">
        <f t="shared" si="6"/>
        <v>1905-07</v>
      </c>
      <c r="D430" s="10">
        <v>2011</v>
      </c>
      <c r="E430" s="8" t="s">
        <v>36</v>
      </c>
      <c r="F430" s="8" t="s">
        <v>51</v>
      </c>
      <c r="G430" s="8" t="s">
        <v>19</v>
      </c>
      <c r="H430" s="8" t="s">
        <v>27</v>
      </c>
      <c r="I430" s="10">
        <v>1.65</v>
      </c>
      <c r="J430" s="10">
        <v>10.38</v>
      </c>
      <c r="K430" s="10">
        <v>6293.01</v>
      </c>
      <c r="L430" s="8" t="s">
        <v>34</v>
      </c>
      <c r="M430" s="8" t="s">
        <v>22</v>
      </c>
      <c r="N430" s="10">
        <v>204.94</v>
      </c>
      <c r="O430" s="10">
        <v>757.55</v>
      </c>
      <c r="P430" s="8" t="s">
        <v>42</v>
      </c>
      <c r="Q430" s="10">
        <v>20.73</v>
      </c>
      <c r="R430" s="10">
        <f xml:space="preserve"> Table1_2[[#This Row],[Yield (Kg/Ha)]]/Table1_2[[#This Row],[Area (Hectares)]]</f>
        <v>3813.945454545455</v>
      </c>
      <c r="S430" s="10">
        <f>Table1_2[[#This Row],[Yield per Acre]]/Table1_2[[#This Row],[Yield (Kg/Ha)]]</f>
        <v>0.60606060606060608</v>
      </c>
      <c r="T430" s="11">
        <f>Table1_2[[#This Row],[Yield per Acre]]/N430</f>
        <v>18.610058819876329</v>
      </c>
    </row>
    <row r="431" spans="1:20" x14ac:dyDescent="0.3">
      <c r="A431" s="8" t="s">
        <v>496</v>
      </c>
      <c r="B431" s="9">
        <v>2010</v>
      </c>
      <c r="C431" s="9" t="str">
        <f t="shared" si="6"/>
        <v>1905-07</v>
      </c>
      <c r="D431" s="10">
        <v>2010</v>
      </c>
      <c r="E431" s="8" t="s">
        <v>17</v>
      </c>
      <c r="F431" s="8" t="s">
        <v>72</v>
      </c>
      <c r="G431" s="8" t="s">
        <v>33</v>
      </c>
      <c r="H431" s="8" t="s">
        <v>64</v>
      </c>
      <c r="I431" s="10">
        <v>67.03</v>
      </c>
      <c r="J431" s="10">
        <v>404.06</v>
      </c>
      <c r="K431" s="10">
        <v>6028.09</v>
      </c>
      <c r="L431" s="8" t="s">
        <v>34</v>
      </c>
      <c r="M431" s="8" t="s">
        <v>41</v>
      </c>
      <c r="N431" s="10">
        <v>132.78</v>
      </c>
      <c r="O431" s="10">
        <v>287.7</v>
      </c>
      <c r="P431" s="8" t="s">
        <v>23</v>
      </c>
      <c r="Q431" s="10">
        <v>26.25</v>
      </c>
      <c r="R431" s="10">
        <f xml:space="preserve"> Table1_2[[#This Row],[Yield (Kg/Ha)]]/Table1_2[[#This Row],[Area (Hectares)]]</f>
        <v>89.931224824705353</v>
      </c>
      <c r="S431" s="10">
        <f>Table1_2[[#This Row],[Yield per Acre]]/Table1_2[[#This Row],[Yield (Kg/Ha)]]</f>
        <v>1.4918693122482471E-2</v>
      </c>
      <c r="T431" s="11">
        <f>Table1_2[[#This Row],[Yield per Acre]]/N431</f>
        <v>0.67729496027041236</v>
      </c>
    </row>
    <row r="432" spans="1:20" x14ac:dyDescent="0.3">
      <c r="A432" s="8" t="s">
        <v>497</v>
      </c>
      <c r="B432" s="9">
        <v>2019</v>
      </c>
      <c r="C432" s="9" t="str">
        <f t="shared" si="6"/>
        <v>1905-07</v>
      </c>
      <c r="D432" s="10">
        <v>2019</v>
      </c>
      <c r="E432" s="8" t="s">
        <v>17</v>
      </c>
      <c r="F432" s="8" t="s">
        <v>72</v>
      </c>
      <c r="G432" s="8" t="s">
        <v>19</v>
      </c>
      <c r="H432" s="8" t="s">
        <v>39</v>
      </c>
      <c r="I432" s="10">
        <v>70.28</v>
      </c>
      <c r="J432" s="10">
        <v>311.60000000000002</v>
      </c>
      <c r="K432" s="10">
        <v>4433.7</v>
      </c>
      <c r="L432" s="8" t="s">
        <v>40</v>
      </c>
      <c r="M432" s="8" t="s">
        <v>49</v>
      </c>
      <c r="N432" s="10">
        <v>291.57</v>
      </c>
      <c r="O432" s="10">
        <v>949.33</v>
      </c>
      <c r="P432" s="8" t="s">
        <v>70</v>
      </c>
      <c r="Q432" s="10">
        <v>33.97</v>
      </c>
      <c r="R432" s="10">
        <f xml:space="preserve"> Table1_2[[#This Row],[Yield (Kg/Ha)]]/Table1_2[[#This Row],[Area (Hectares)]]</f>
        <v>63.086226522481496</v>
      </c>
      <c r="S432" s="10">
        <f>Table1_2[[#This Row],[Yield per Acre]]/Table1_2[[#This Row],[Yield (Kg/Ha)]]</f>
        <v>1.4228799089356857E-2</v>
      </c>
      <c r="T432" s="11">
        <f>Table1_2[[#This Row],[Yield per Acre]]/N432</f>
        <v>0.21636734411112768</v>
      </c>
    </row>
    <row r="433" spans="1:20" x14ac:dyDescent="0.3">
      <c r="A433" s="8" t="s">
        <v>498</v>
      </c>
      <c r="B433" s="9">
        <v>2016</v>
      </c>
      <c r="C433" s="9" t="str">
        <f t="shared" si="6"/>
        <v>1905-07</v>
      </c>
      <c r="D433" s="10">
        <v>2016</v>
      </c>
      <c r="E433" s="8" t="s">
        <v>31</v>
      </c>
      <c r="F433" s="8" t="s">
        <v>32</v>
      </c>
      <c r="G433" s="8" t="s">
        <v>33</v>
      </c>
      <c r="H433" s="8" t="s">
        <v>46</v>
      </c>
      <c r="I433" s="10">
        <v>84.49</v>
      </c>
      <c r="J433" s="10">
        <v>117.4</v>
      </c>
      <c r="K433" s="10">
        <v>1389.56</v>
      </c>
      <c r="L433" s="8" t="s">
        <v>28</v>
      </c>
      <c r="M433" s="8" t="s">
        <v>47</v>
      </c>
      <c r="N433" s="10">
        <v>83.64</v>
      </c>
      <c r="O433" s="10">
        <v>894.62</v>
      </c>
      <c r="P433" s="8" t="s">
        <v>70</v>
      </c>
      <c r="Q433" s="10">
        <v>24.94</v>
      </c>
      <c r="R433" s="10">
        <f xml:space="preserve"> Table1_2[[#This Row],[Yield (Kg/Ha)]]/Table1_2[[#This Row],[Area (Hectares)]]</f>
        <v>16.446443366078825</v>
      </c>
      <c r="S433" s="10">
        <f>Table1_2[[#This Row],[Yield per Acre]]/Table1_2[[#This Row],[Yield (Kg/Ha)]]</f>
        <v>1.1835720203574387E-2</v>
      </c>
      <c r="T433" s="11">
        <f>Table1_2[[#This Row],[Yield per Acre]]/N433</f>
        <v>0.19663370834623176</v>
      </c>
    </row>
    <row r="434" spans="1:20" x14ac:dyDescent="0.3">
      <c r="A434" s="8" t="s">
        <v>499</v>
      </c>
      <c r="B434" s="9">
        <v>2013</v>
      </c>
      <c r="C434" s="9" t="str">
        <f t="shared" si="6"/>
        <v>1905-07</v>
      </c>
      <c r="D434" s="10">
        <v>2013</v>
      </c>
      <c r="E434" s="8" t="s">
        <v>103</v>
      </c>
      <c r="F434" s="8" t="s">
        <v>228</v>
      </c>
      <c r="G434" s="8" t="s">
        <v>19</v>
      </c>
      <c r="H434" s="8" t="s">
        <v>64</v>
      </c>
      <c r="I434" s="10">
        <v>11.82</v>
      </c>
      <c r="J434" s="10">
        <v>63.57</v>
      </c>
      <c r="K434" s="10">
        <v>5378.37</v>
      </c>
      <c r="L434" s="8" t="s">
        <v>21</v>
      </c>
      <c r="M434" s="8" t="s">
        <v>49</v>
      </c>
      <c r="N434" s="10">
        <v>170.92</v>
      </c>
      <c r="O434" s="10">
        <v>888.65</v>
      </c>
      <c r="P434" s="8" t="s">
        <v>70</v>
      </c>
      <c r="Q434" s="10">
        <v>26.41</v>
      </c>
      <c r="R434" s="10">
        <f xml:space="preserve"> Table1_2[[#This Row],[Yield (Kg/Ha)]]/Table1_2[[#This Row],[Area (Hectares)]]</f>
        <v>455.02284263959388</v>
      </c>
      <c r="S434" s="10">
        <f>Table1_2[[#This Row],[Yield per Acre]]/Table1_2[[#This Row],[Yield (Kg/Ha)]]</f>
        <v>8.4602368866328256E-2</v>
      </c>
      <c r="T434" s="11">
        <f>Table1_2[[#This Row],[Yield per Acre]]/N434</f>
        <v>2.66219776877834</v>
      </c>
    </row>
    <row r="435" spans="1:20" x14ac:dyDescent="0.3">
      <c r="A435" s="8" t="s">
        <v>500</v>
      </c>
      <c r="B435" s="9">
        <v>2019</v>
      </c>
      <c r="C435" s="9" t="str">
        <f t="shared" si="6"/>
        <v>1905-07</v>
      </c>
      <c r="D435" s="10">
        <v>2019</v>
      </c>
      <c r="E435" s="8" t="s">
        <v>31</v>
      </c>
      <c r="F435" s="8" t="s">
        <v>117</v>
      </c>
      <c r="G435" s="8" t="s">
        <v>19</v>
      </c>
      <c r="H435" s="8" t="s">
        <v>20</v>
      </c>
      <c r="I435" s="10">
        <v>92.78</v>
      </c>
      <c r="J435" s="10">
        <v>434.74</v>
      </c>
      <c r="K435" s="10">
        <v>4685.74</v>
      </c>
      <c r="L435" s="8" t="s">
        <v>28</v>
      </c>
      <c r="M435" s="8" t="s">
        <v>47</v>
      </c>
      <c r="N435" s="10">
        <v>179.93</v>
      </c>
      <c r="O435" s="10">
        <v>831.86</v>
      </c>
      <c r="P435" s="8" t="s">
        <v>52</v>
      </c>
      <c r="Q435" s="10">
        <v>32.119999999999997</v>
      </c>
      <c r="R435" s="10">
        <f xml:space="preserve"> Table1_2[[#This Row],[Yield (Kg/Ha)]]/Table1_2[[#This Row],[Area (Hectares)]]</f>
        <v>50.503772364733777</v>
      </c>
      <c r="S435" s="10">
        <f>Table1_2[[#This Row],[Yield per Acre]]/Table1_2[[#This Row],[Yield (Kg/Ha)]]</f>
        <v>1.0778184953653805E-2</v>
      </c>
      <c r="T435" s="11">
        <f>Table1_2[[#This Row],[Yield per Acre]]/N435</f>
        <v>0.28068566867522798</v>
      </c>
    </row>
    <row r="436" spans="1:20" x14ac:dyDescent="0.3">
      <c r="A436" s="8" t="s">
        <v>501</v>
      </c>
      <c r="B436" s="9">
        <v>2014</v>
      </c>
      <c r="C436" s="9" t="str">
        <f t="shared" si="6"/>
        <v>1905-07</v>
      </c>
      <c r="D436" s="10">
        <v>2014</v>
      </c>
      <c r="E436" s="8" t="s">
        <v>103</v>
      </c>
      <c r="F436" s="8" t="s">
        <v>228</v>
      </c>
      <c r="G436" s="8" t="s">
        <v>33</v>
      </c>
      <c r="H436" s="8" t="s">
        <v>64</v>
      </c>
      <c r="I436" s="10">
        <v>12.7</v>
      </c>
      <c r="J436" s="10">
        <v>48.12</v>
      </c>
      <c r="K436" s="10">
        <v>3789.31</v>
      </c>
      <c r="L436" s="8" t="s">
        <v>21</v>
      </c>
      <c r="M436" s="8" t="s">
        <v>22</v>
      </c>
      <c r="N436" s="10">
        <v>234.37</v>
      </c>
      <c r="O436" s="10">
        <v>407.33</v>
      </c>
      <c r="P436" s="8" t="s">
        <v>61</v>
      </c>
      <c r="Q436" s="10">
        <v>34.979999999999997</v>
      </c>
      <c r="R436" s="10">
        <f xml:space="preserve"> Table1_2[[#This Row],[Yield (Kg/Ha)]]/Table1_2[[#This Row],[Area (Hectares)]]</f>
        <v>298.37086614173228</v>
      </c>
      <c r="S436" s="10">
        <f>Table1_2[[#This Row],[Yield per Acre]]/Table1_2[[#This Row],[Yield (Kg/Ha)]]</f>
        <v>7.874015748031496E-2</v>
      </c>
      <c r="T436" s="11">
        <f>Table1_2[[#This Row],[Yield per Acre]]/N436</f>
        <v>1.2730761878300647</v>
      </c>
    </row>
    <row r="437" spans="1:20" x14ac:dyDescent="0.3">
      <c r="A437" s="8" t="s">
        <v>502</v>
      </c>
      <c r="B437" s="9">
        <v>2018</v>
      </c>
      <c r="C437" s="9" t="str">
        <f t="shared" si="6"/>
        <v>1905-07</v>
      </c>
      <c r="D437" s="10">
        <v>2018</v>
      </c>
      <c r="E437" s="8" t="s">
        <v>31</v>
      </c>
      <c r="F437" s="8" t="s">
        <v>32</v>
      </c>
      <c r="G437" s="8" t="s">
        <v>19</v>
      </c>
      <c r="H437" s="8" t="s">
        <v>56</v>
      </c>
      <c r="I437" s="10">
        <v>2.12</v>
      </c>
      <c r="J437" s="10">
        <v>4.68</v>
      </c>
      <c r="K437" s="10">
        <v>2207.12</v>
      </c>
      <c r="L437" s="8" t="s">
        <v>34</v>
      </c>
      <c r="M437" s="8" t="s">
        <v>22</v>
      </c>
      <c r="N437" s="10">
        <v>113.6</v>
      </c>
      <c r="O437" s="10">
        <v>267.83999999999997</v>
      </c>
      <c r="P437" s="8" t="s">
        <v>70</v>
      </c>
      <c r="Q437" s="10">
        <v>27.6</v>
      </c>
      <c r="R437" s="10">
        <f xml:space="preserve"> Table1_2[[#This Row],[Yield (Kg/Ha)]]/Table1_2[[#This Row],[Area (Hectares)]]</f>
        <v>1041.0943396226414</v>
      </c>
      <c r="S437" s="10">
        <f>Table1_2[[#This Row],[Yield per Acre]]/Table1_2[[#This Row],[Yield (Kg/Ha)]]</f>
        <v>0.47169811320754718</v>
      </c>
      <c r="T437" s="11">
        <f>Table1_2[[#This Row],[Yield per Acre]]/N437</f>
        <v>9.1645628487908581</v>
      </c>
    </row>
    <row r="438" spans="1:20" x14ac:dyDescent="0.3">
      <c r="A438" s="8" t="s">
        <v>503</v>
      </c>
      <c r="B438" s="9">
        <v>2016</v>
      </c>
      <c r="C438" s="9" t="str">
        <f t="shared" si="6"/>
        <v>1905-07</v>
      </c>
      <c r="D438" s="10">
        <v>2015</v>
      </c>
      <c r="E438" s="8" t="s">
        <v>25</v>
      </c>
      <c r="F438" s="8" t="s">
        <v>69</v>
      </c>
      <c r="G438" s="8" t="s">
        <v>38</v>
      </c>
      <c r="H438" s="8" t="s">
        <v>46</v>
      </c>
      <c r="I438" s="10">
        <v>72.72</v>
      </c>
      <c r="J438" s="10">
        <v>341.49</v>
      </c>
      <c r="K438" s="10">
        <v>4695.96</v>
      </c>
      <c r="L438" s="8" t="s">
        <v>21</v>
      </c>
      <c r="M438" s="8" t="s">
        <v>29</v>
      </c>
      <c r="N438" s="10">
        <v>258.01</v>
      </c>
      <c r="O438" s="10">
        <v>394.02</v>
      </c>
      <c r="P438" s="8" t="s">
        <v>70</v>
      </c>
      <c r="Q438" s="10">
        <v>33.83</v>
      </c>
      <c r="R438" s="10">
        <f xml:space="preserve"> Table1_2[[#This Row],[Yield (Kg/Ha)]]/Table1_2[[#This Row],[Area (Hectares)]]</f>
        <v>64.575907590759073</v>
      </c>
      <c r="S438" s="10">
        <f>Table1_2[[#This Row],[Yield per Acre]]/Table1_2[[#This Row],[Yield (Kg/Ha)]]</f>
        <v>1.375137513751375E-2</v>
      </c>
      <c r="T438" s="11">
        <f>Table1_2[[#This Row],[Yield per Acre]]/N438</f>
        <v>0.25028451451788331</v>
      </c>
    </row>
    <row r="439" spans="1:20" x14ac:dyDescent="0.3">
      <c r="A439" s="8" t="s">
        <v>504</v>
      </c>
      <c r="B439" s="9">
        <v>2020</v>
      </c>
      <c r="C439" s="9" t="str">
        <f t="shared" si="6"/>
        <v>1905-07</v>
      </c>
      <c r="D439" s="10">
        <v>2020</v>
      </c>
      <c r="E439" s="8" t="s">
        <v>44</v>
      </c>
      <c r="F439" s="8" t="s">
        <v>45</v>
      </c>
      <c r="G439" s="8" t="s">
        <v>33</v>
      </c>
      <c r="H439" s="8" t="s">
        <v>46</v>
      </c>
      <c r="I439" s="10">
        <v>16.38</v>
      </c>
      <c r="J439" s="10">
        <v>61.65</v>
      </c>
      <c r="K439" s="10">
        <v>3763.71</v>
      </c>
      <c r="L439" s="8" t="s">
        <v>34</v>
      </c>
      <c r="M439" s="8" t="s">
        <v>47</v>
      </c>
      <c r="N439" s="10">
        <v>165.62</v>
      </c>
      <c r="O439" s="10">
        <v>1014.17</v>
      </c>
      <c r="P439" s="8" t="s">
        <v>23</v>
      </c>
      <c r="Q439" s="10">
        <v>32.53</v>
      </c>
      <c r="R439" s="10">
        <f xml:space="preserve"> Table1_2[[#This Row],[Yield (Kg/Ha)]]/Table1_2[[#This Row],[Area (Hectares)]]</f>
        <v>229.77472527472528</v>
      </c>
      <c r="S439" s="10">
        <f>Table1_2[[#This Row],[Yield per Acre]]/Table1_2[[#This Row],[Yield (Kg/Ha)]]</f>
        <v>6.1050061050061055E-2</v>
      </c>
      <c r="T439" s="11">
        <f>Table1_2[[#This Row],[Yield per Acre]]/N439</f>
        <v>1.3873609785939216</v>
      </c>
    </row>
    <row r="440" spans="1:20" x14ac:dyDescent="0.3">
      <c r="A440" s="8" t="s">
        <v>505</v>
      </c>
      <c r="B440" s="9">
        <v>2015</v>
      </c>
      <c r="C440" s="9" t="str">
        <f t="shared" si="6"/>
        <v>1905-07</v>
      </c>
      <c r="D440" s="10">
        <v>2015</v>
      </c>
      <c r="E440" s="8" t="s">
        <v>17</v>
      </c>
      <c r="F440" s="8" t="s">
        <v>54</v>
      </c>
      <c r="G440" s="8" t="s">
        <v>19</v>
      </c>
      <c r="H440" s="8" t="s">
        <v>27</v>
      </c>
      <c r="I440" s="10">
        <v>2.85</v>
      </c>
      <c r="J440" s="10">
        <v>12.72</v>
      </c>
      <c r="K440" s="10">
        <v>4464.3900000000003</v>
      </c>
      <c r="L440" s="8" t="s">
        <v>34</v>
      </c>
      <c r="M440" s="8" t="s">
        <v>49</v>
      </c>
      <c r="N440" s="10">
        <v>249.88</v>
      </c>
      <c r="O440" s="10">
        <v>1088.03</v>
      </c>
      <c r="P440" s="8" t="s">
        <v>70</v>
      </c>
      <c r="Q440" s="10">
        <v>20.99</v>
      </c>
      <c r="R440" s="10">
        <f xml:space="preserve"> Table1_2[[#This Row],[Yield (Kg/Ha)]]/Table1_2[[#This Row],[Area (Hectares)]]</f>
        <v>1566.4526315789474</v>
      </c>
      <c r="S440" s="10">
        <f>Table1_2[[#This Row],[Yield per Acre]]/Table1_2[[#This Row],[Yield (Kg/Ha)]]</f>
        <v>0.35087719298245612</v>
      </c>
      <c r="T440" s="11">
        <f>Table1_2[[#This Row],[Yield per Acre]]/N440</f>
        <v>6.2688195597044478</v>
      </c>
    </row>
    <row r="441" spans="1:20" x14ac:dyDescent="0.3">
      <c r="A441" s="8" t="s">
        <v>506</v>
      </c>
      <c r="B441" s="9">
        <v>2016</v>
      </c>
      <c r="C441" s="9" t="str">
        <f t="shared" si="6"/>
        <v>1905-07</v>
      </c>
      <c r="D441" s="10">
        <v>2015</v>
      </c>
      <c r="E441" s="8" t="s">
        <v>44</v>
      </c>
      <c r="F441" s="8" t="s">
        <v>45</v>
      </c>
      <c r="G441" s="8" t="s">
        <v>38</v>
      </c>
      <c r="H441" s="8" t="s">
        <v>39</v>
      </c>
      <c r="I441" s="10">
        <v>53.89</v>
      </c>
      <c r="J441" s="10">
        <v>107.55</v>
      </c>
      <c r="K441" s="10">
        <v>1995.82</v>
      </c>
      <c r="L441" s="8" t="s">
        <v>28</v>
      </c>
      <c r="M441" s="8" t="s">
        <v>22</v>
      </c>
      <c r="N441" s="10">
        <v>96.84</v>
      </c>
      <c r="O441" s="10">
        <v>316.83999999999997</v>
      </c>
      <c r="P441" s="8" t="s">
        <v>70</v>
      </c>
      <c r="Q441" s="10">
        <v>30.58</v>
      </c>
      <c r="R441" s="10">
        <f xml:space="preserve"> Table1_2[[#This Row],[Yield (Kg/Ha)]]/Table1_2[[#This Row],[Area (Hectares)]]</f>
        <v>37.035071441825941</v>
      </c>
      <c r="S441" s="10">
        <f>Table1_2[[#This Row],[Yield per Acre]]/Table1_2[[#This Row],[Yield (Kg/Ha)]]</f>
        <v>1.8556318426424197E-2</v>
      </c>
      <c r="T441" s="11">
        <f>Table1_2[[#This Row],[Yield per Acre]]/N441</f>
        <v>0.38243568196846284</v>
      </c>
    </row>
    <row r="442" spans="1:20" x14ac:dyDescent="0.3">
      <c r="A442" s="8" t="s">
        <v>507</v>
      </c>
      <c r="B442" s="9">
        <v>2011</v>
      </c>
      <c r="C442" s="9" t="str">
        <f t="shared" si="6"/>
        <v>1905-07</v>
      </c>
      <c r="D442" s="10">
        <v>2011</v>
      </c>
      <c r="E442" s="8" t="s">
        <v>31</v>
      </c>
      <c r="F442" s="8" t="s">
        <v>32</v>
      </c>
      <c r="G442" s="8" t="s">
        <v>38</v>
      </c>
      <c r="H442" s="8" t="s">
        <v>56</v>
      </c>
      <c r="I442" s="10">
        <v>37.79</v>
      </c>
      <c r="J442" s="10">
        <v>225.86</v>
      </c>
      <c r="K442" s="10">
        <v>5976.74</v>
      </c>
      <c r="L442" s="8" t="s">
        <v>34</v>
      </c>
      <c r="M442" s="8" t="s">
        <v>41</v>
      </c>
      <c r="N442" s="10">
        <v>104.03</v>
      </c>
      <c r="O442" s="10">
        <v>502.32</v>
      </c>
      <c r="P442" s="8" t="s">
        <v>23</v>
      </c>
      <c r="Q442" s="10">
        <v>25.61</v>
      </c>
      <c r="R442" s="10">
        <f xml:space="preserve"> Table1_2[[#This Row],[Yield (Kg/Ha)]]/Table1_2[[#This Row],[Area (Hectares)]]</f>
        <v>158.1566551997883</v>
      </c>
      <c r="S442" s="10">
        <f>Table1_2[[#This Row],[Yield per Acre]]/Table1_2[[#This Row],[Yield (Kg/Ha)]]</f>
        <v>2.6462026991267533E-2</v>
      </c>
      <c r="T442" s="11">
        <f>Table1_2[[#This Row],[Yield per Acre]]/N442</f>
        <v>1.5202985215782785</v>
      </c>
    </row>
    <row r="443" spans="1:20" x14ac:dyDescent="0.3">
      <c r="A443" s="8" t="s">
        <v>508</v>
      </c>
      <c r="B443" s="9">
        <v>2018</v>
      </c>
      <c r="C443" s="9" t="str">
        <f t="shared" si="6"/>
        <v>1905-07</v>
      </c>
      <c r="D443" s="10">
        <v>2018</v>
      </c>
      <c r="E443" s="8" t="s">
        <v>25</v>
      </c>
      <c r="F443" s="8" t="s">
        <v>87</v>
      </c>
      <c r="G443" s="8" t="s">
        <v>33</v>
      </c>
      <c r="H443" s="8" t="s">
        <v>46</v>
      </c>
      <c r="I443" s="10">
        <v>90.59</v>
      </c>
      <c r="J443" s="10">
        <v>174.34</v>
      </c>
      <c r="K443" s="10">
        <v>1924.47</v>
      </c>
      <c r="L443" s="8" t="s">
        <v>34</v>
      </c>
      <c r="M443" s="8" t="s">
        <v>41</v>
      </c>
      <c r="N443" s="10">
        <v>280.91000000000003</v>
      </c>
      <c r="O443" s="10">
        <v>932.44</v>
      </c>
      <c r="P443" s="8" t="s">
        <v>61</v>
      </c>
      <c r="Q443" s="10">
        <v>24.66</v>
      </c>
      <c r="R443" s="10">
        <f xml:space="preserve"> Table1_2[[#This Row],[Yield (Kg/Ha)]]/Table1_2[[#This Row],[Area (Hectares)]]</f>
        <v>21.243735511645877</v>
      </c>
      <c r="S443" s="10">
        <f>Table1_2[[#This Row],[Yield per Acre]]/Table1_2[[#This Row],[Yield (Kg/Ha)]]</f>
        <v>1.1038745998454575E-2</v>
      </c>
      <c r="T443" s="11">
        <f>Table1_2[[#This Row],[Yield per Acre]]/N443</f>
        <v>7.5624703683193462E-2</v>
      </c>
    </row>
    <row r="444" spans="1:20" x14ac:dyDescent="0.3">
      <c r="A444" s="8" t="s">
        <v>509</v>
      </c>
      <c r="B444" s="9">
        <v>2018</v>
      </c>
      <c r="C444" s="9" t="str">
        <f t="shared" si="6"/>
        <v>1905-07</v>
      </c>
      <c r="D444" s="10">
        <v>2018</v>
      </c>
      <c r="E444" s="8" t="s">
        <v>44</v>
      </c>
      <c r="F444" s="8" t="s">
        <v>45</v>
      </c>
      <c r="G444" s="8" t="s">
        <v>19</v>
      </c>
      <c r="H444" s="8" t="s">
        <v>56</v>
      </c>
      <c r="I444" s="10">
        <v>21.31</v>
      </c>
      <c r="J444" s="10">
        <v>25.98</v>
      </c>
      <c r="K444" s="10">
        <v>1219.32</v>
      </c>
      <c r="L444" s="8" t="s">
        <v>28</v>
      </c>
      <c r="M444" s="8" t="s">
        <v>47</v>
      </c>
      <c r="N444" s="10">
        <v>228.42</v>
      </c>
      <c r="O444" s="10">
        <v>722.34</v>
      </c>
      <c r="P444" s="8" t="s">
        <v>23</v>
      </c>
      <c r="Q444" s="10">
        <v>24.66</v>
      </c>
      <c r="R444" s="10">
        <f xml:space="preserve"> Table1_2[[#This Row],[Yield (Kg/Ha)]]/Table1_2[[#This Row],[Area (Hectares)]]</f>
        <v>57.218207414359455</v>
      </c>
      <c r="S444" s="10">
        <f>Table1_2[[#This Row],[Yield per Acre]]/Table1_2[[#This Row],[Yield (Kg/Ha)]]</f>
        <v>4.6926325668700142E-2</v>
      </c>
      <c r="T444" s="11">
        <f>Table1_2[[#This Row],[Yield per Acre]]/N444</f>
        <v>0.25049561077996435</v>
      </c>
    </row>
    <row r="445" spans="1:20" x14ac:dyDescent="0.3">
      <c r="A445" s="8" t="s">
        <v>510</v>
      </c>
      <c r="B445" s="9">
        <v>2015</v>
      </c>
      <c r="C445" s="9" t="str">
        <f t="shared" si="6"/>
        <v>1905-07</v>
      </c>
      <c r="D445" s="10">
        <v>2015</v>
      </c>
      <c r="E445" s="8" t="s">
        <v>44</v>
      </c>
      <c r="F445" s="8" t="s">
        <v>45</v>
      </c>
      <c r="G445" s="8" t="s">
        <v>38</v>
      </c>
      <c r="H445" s="8" t="s">
        <v>64</v>
      </c>
      <c r="I445" s="10">
        <v>11.21</v>
      </c>
      <c r="J445" s="10">
        <v>62.74</v>
      </c>
      <c r="K445" s="10">
        <v>5597.08</v>
      </c>
      <c r="L445" s="8" t="s">
        <v>34</v>
      </c>
      <c r="M445" s="8" t="s">
        <v>49</v>
      </c>
      <c r="N445" s="10">
        <v>55.62</v>
      </c>
      <c r="O445" s="10">
        <v>958.49</v>
      </c>
      <c r="P445" s="8" t="s">
        <v>42</v>
      </c>
      <c r="Q445" s="10">
        <v>24.81</v>
      </c>
      <c r="R445" s="10">
        <f xml:space="preserve"> Table1_2[[#This Row],[Yield (Kg/Ha)]]/Table1_2[[#This Row],[Area (Hectares)]]</f>
        <v>499.29348795718107</v>
      </c>
      <c r="S445" s="10">
        <f>Table1_2[[#This Row],[Yield per Acre]]/Table1_2[[#This Row],[Yield (Kg/Ha)]]</f>
        <v>8.9206066012488844E-2</v>
      </c>
      <c r="T445" s="11">
        <f>Table1_2[[#This Row],[Yield per Acre]]/N445</f>
        <v>8.9768696144764668</v>
      </c>
    </row>
    <row r="446" spans="1:20" x14ac:dyDescent="0.3">
      <c r="A446" s="8" t="s">
        <v>511</v>
      </c>
      <c r="B446" s="9">
        <v>2015</v>
      </c>
      <c r="C446" s="9" t="str">
        <f t="shared" si="6"/>
        <v>1905-07</v>
      </c>
      <c r="D446" s="10">
        <v>2015</v>
      </c>
      <c r="E446" s="8" t="s">
        <v>31</v>
      </c>
      <c r="F446" s="8" t="s">
        <v>117</v>
      </c>
      <c r="G446" s="8" t="s">
        <v>38</v>
      </c>
      <c r="H446" s="8" t="s">
        <v>39</v>
      </c>
      <c r="I446" s="10">
        <v>12.65</v>
      </c>
      <c r="J446" s="10">
        <v>23.98</v>
      </c>
      <c r="K446" s="10">
        <v>1895.92</v>
      </c>
      <c r="L446" s="8" t="s">
        <v>34</v>
      </c>
      <c r="M446" s="8" t="s">
        <v>47</v>
      </c>
      <c r="N446" s="10">
        <v>78.62</v>
      </c>
      <c r="O446" s="10">
        <v>1158.3</v>
      </c>
      <c r="P446" s="8" t="s">
        <v>61</v>
      </c>
      <c r="Q446" s="10">
        <v>27.71</v>
      </c>
      <c r="R446" s="10">
        <f xml:space="preserve"> Table1_2[[#This Row],[Yield (Kg/Ha)]]/Table1_2[[#This Row],[Area (Hectares)]]</f>
        <v>149.87509881422926</v>
      </c>
      <c r="S446" s="10">
        <f>Table1_2[[#This Row],[Yield per Acre]]/Table1_2[[#This Row],[Yield (Kg/Ha)]]</f>
        <v>7.9051383399209488E-2</v>
      </c>
      <c r="T446" s="11">
        <f>Table1_2[[#This Row],[Yield per Acre]]/N446</f>
        <v>1.9063228035389119</v>
      </c>
    </row>
    <row r="447" spans="1:20" x14ac:dyDescent="0.3">
      <c r="A447" s="8" t="s">
        <v>512</v>
      </c>
      <c r="B447" s="9">
        <v>2015</v>
      </c>
      <c r="C447" s="9" t="str">
        <f t="shared" si="6"/>
        <v>1905-07</v>
      </c>
      <c r="D447" s="10">
        <v>2015</v>
      </c>
      <c r="E447" s="8" t="s">
        <v>31</v>
      </c>
      <c r="F447" s="8" t="s">
        <v>117</v>
      </c>
      <c r="G447" s="8" t="s">
        <v>38</v>
      </c>
      <c r="H447" s="8" t="s">
        <v>56</v>
      </c>
      <c r="I447" s="10">
        <v>94.38</v>
      </c>
      <c r="J447" s="10">
        <v>549.66999999999996</v>
      </c>
      <c r="K447" s="10">
        <v>5824.02</v>
      </c>
      <c r="L447" s="8" t="s">
        <v>40</v>
      </c>
      <c r="M447" s="8" t="s">
        <v>41</v>
      </c>
      <c r="N447" s="10">
        <v>92.82</v>
      </c>
      <c r="O447" s="10">
        <v>511.38</v>
      </c>
      <c r="P447" s="8" t="s">
        <v>70</v>
      </c>
      <c r="Q447" s="10">
        <v>28.11</v>
      </c>
      <c r="R447" s="10">
        <f xml:space="preserve"> Table1_2[[#This Row],[Yield (Kg/Ha)]]/Table1_2[[#This Row],[Area (Hectares)]]</f>
        <v>61.708200890019079</v>
      </c>
      <c r="S447" s="10">
        <f>Table1_2[[#This Row],[Yield per Acre]]/Table1_2[[#This Row],[Yield (Kg/Ha)]]</f>
        <v>1.0595465140919687E-2</v>
      </c>
      <c r="T447" s="11">
        <f>Table1_2[[#This Row],[Yield per Acre]]/N447</f>
        <v>0.66481578205148761</v>
      </c>
    </row>
    <row r="448" spans="1:20" x14ac:dyDescent="0.3">
      <c r="A448" s="8" t="s">
        <v>513</v>
      </c>
      <c r="B448" s="9">
        <v>2020</v>
      </c>
      <c r="C448" s="9" t="str">
        <f t="shared" si="6"/>
        <v>1905-07</v>
      </c>
      <c r="D448" s="10">
        <v>2020</v>
      </c>
      <c r="E448" s="8" t="s">
        <v>25</v>
      </c>
      <c r="F448" s="8" t="s">
        <v>87</v>
      </c>
      <c r="G448" s="8" t="s">
        <v>33</v>
      </c>
      <c r="H448" s="8" t="s">
        <v>64</v>
      </c>
      <c r="I448" s="10">
        <v>38.979999999999997</v>
      </c>
      <c r="J448" s="10">
        <v>59.12</v>
      </c>
      <c r="K448" s="10">
        <v>1516.72</v>
      </c>
      <c r="L448" s="8" t="s">
        <v>28</v>
      </c>
      <c r="M448" s="8" t="s">
        <v>47</v>
      </c>
      <c r="N448" s="10">
        <v>94.75</v>
      </c>
      <c r="O448" s="10">
        <v>796.12</v>
      </c>
      <c r="P448" s="8" t="s">
        <v>61</v>
      </c>
      <c r="Q448" s="10">
        <v>29.44</v>
      </c>
      <c r="R448" s="10">
        <f xml:space="preserve"> Table1_2[[#This Row],[Yield (Kg/Ha)]]/Table1_2[[#This Row],[Area (Hectares)]]</f>
        <v>38.910210364289384</v>
      </c>
      <c r="S448" s="10">
        <f>Table1_2[[#This Row],[Yield per Acre]]/Table1_2[[#This Row],[Yield (Kg/Ha)]]</f>
        <v>2.5654181631605953E-2</v>
      </c>
      <c r="T448" s="11">
        <f>Table1_2[[#This Row],[Yield per Acre]]/N448</f>
        <v>0.41066185081044204</v>
      </c>
    </row>
    <row r="449" spans="1:20" x14ac:dyDescent="0.3">
      <c r="A449" s="8" t="s">
        <v>514</v>
      </c>
      <c r="B449" s="9">
        <v>2015</v>
      </c>
      <c r="C449" s="9" t="str">
        <f t="shared" si="6"/>
        <v>1905-07</v>
      </c>
      <c r="D449" s="10">
        <v>2015</v>
      </c>
      <c r="E449" s="8" t="s">
        <v>31</v>
      </c>
      <c r="F449" s="8" t="s">
        <v>32</v>
      </c>
      <c r="G449" s="8" t="s">
        <v>33</v>
      </c>
      <c r="H449" s="8" t="s">
        <v>39</v>
      </c>
      <c r="I449" s="10">
        <v>76.08</v>
      </c>
      <c r="J449" s="10">
        <v>445.51</v>
      </c>
      <c r="K449" s="10">
        <v>5855.8</v>
      </c>
      <c r="L449" s="8" t="s">
        <v>21</v>
      </c>
      <c r="M449" s="8" t="s">
        <v>29</v>
      </c>
      <c r="N449" s="10">
        <v>293.42</v>
      </c>
      <c r="O449" s="10">
        <v>955.74</v>
      </c>
      <c r="P449" s="8" t="s">
        <v>52</v>
      </c>
      <c r="Q449" s="10">
        <v>28.52</v>
      </c>
      <c r="R449" s="10">
        <f xml:space="preserve"> Table1_2[[#This Row],[Yield (Kg/Ha)]]/Table1_2[[#This Row],[Area (Hectares)]]</f>
        <v>76.968980021030504</v>
      </c>
      <c r="S449" s="10">
        <f>Table1_2[[#This Row],[Yield per Acre]]/Table1_2[[#This Row],[Yield (Kg/Ha)]]</f>
        <v>1.3144058885383808E-2</v>
      </c>
      <c r="T449" s="11">
        <f>Table1_2[[#This Row],[Yield per Acre]]/N449</f>
        <v>0.26231674739632777</v>
      </c>
    </row>
    <row r="450" spans="1:20" x14ac:dyDescent="0.3">
      <c r="A450" s="8" t="s">
        <v>515</v>
      </c>
      <c r="B450" s="9">
        <v>2014</v>
      </c>
      <c r="C450" s="9" t="str">
        <f>TEXT(B450,"YYYY-MM")</f>
        <v>1905-07</v>
      </c>
      <c r="D450" s="10">
        <v>2014</v>
      </c>
      <c r="E450" s="8" t="s">
        <v>25</v>
      </c>
      <c r="F450" s="8" t="s">
        <v>87</v>
      </c>
      <c r="G450" s="8" t="s">
        <v>19</v>
      </c>
      <c r="H450" s="8" t="s">
        <v>39</v>
      </c>
      <c r="I450" s="10">
        <v>71.31</v>
      </c>
      <c r="J450" s="10">
        <v>270.43</v>
      </c>
      <c r="K450" s="10">
        <v>3792.38</v>
      </c>
      <c r="L450" s="8" t="s">
        <v>40</v>
      </c>
      <c r="M450" s="8" t="s">
        <v>29</v>
      </c>
      <c r="N450" s="10">
        <v>286.86</v>
      </c>
      <c r="O450" s="10">
        <v>343.72</v>
      </c>
      <c r="P450" s="8" t="s">
        <v>61</v>
      </c>
      <c r="Q450" s="10">
        <v>23.87</v>
      </c>
      <c r="R450" s="10">
        <f xml:space="preserve"> Table1_2[[#This Row],[Yield (Kg/Ha)]]/Table1_2[[#This Row],[Area (Hectares)]]</f>
        <v>53.181601458420978</v>
      </c>
      <c r="S450" s="10">
        <f>Table1_2[[#This Row],[Yield per Acre]]/Table1_2[[#This Row],[Yield (Kg/Ha)]]</f>
        <v>1.4023278642546627E-2</v>
      </c>
      <c r="T450" s="11">
        <f>Table1_2[[#This Row],[Yield per Acre]]/N450</f>
        <v>0.18539218245283753</v>
      </c>
    </row>
    <row r="451" spans="1:20" x14ac:dyDescent="0.3">
      <c r="A451" s="8" t="s">
        <v>516</v>
      </c>
      <c r="B451" s="9">
        <v>2021</v>
      </c>
      <c r="C451" s="9" t="str">
        <f>TEXT(B451,"YYYY-MM")</f>
        <v>1905-07</v>
      </c>
      <c r="D451" s="10">
        <v>2020</v>
      </c>
      <c r="E451" s="8" t="s">
        <v>103</v>
      </c>
      <c r="F451" s="8" t="s">
        <v>228</v>
      </c>
      <c r="G451" s="8" t="s">
        <v>38</v>
      </c>
      <c r="H451" s="8" t="s">
        <v>20</v>
      </c>
      <c r="I451" s="10">
        <v>45.88</v>
      </c>
      <c r="J451" s="10">
        <v>54.21</v>
      </c>
      <c r="K451" s="10">
        <v>1181.58</v>
      </c>
      <c r="L451" s="8" t="s">
        <v>28</v>
      </c>
      <c r="M451" s="8" t="s">
        <v>47</v>
      </c>
      <c r="N451" s="10">
        <v>78.22</v>
      </c>
      <c r="O451" s="10">
        <v>678.65</v>
      </c>
      <c r="P451" s="8" t="s">
        <v>42</v>
      </c>
      <c r="Q451" s="10">
        <v>24.23</v>
      </c>
      <c r="R451" s="10">
        <f xml:space="preserve"> Table1_2[[#This Row],[Yield (Kg/Ha)]]/Table1_2[[#This Row],[Area (Hectares)]]</f>
        <v>25.753705318221446</v>
      </c>
      <c r="S451" s="10">
        <f>Table1_2[[#This Row],[Yield per Acre]]/Table1_2[[#This Row],[Yield (Kg/Ha)]]</f>
        <v>2.1795989537925022E-2</v>
      </c>
      <c r="T451" s="11">
        <f>Table1_2[[#This Row],[Yield per Acre]]/N451</f>
        <v>0.3292470636438436</v>
      </c>
    </row>
    <row r="452" spans="1:20" x14ac:dyDescent="0.3">
      <c r="A452" s="8" t="s">
        <v>517</v>
      </c>
      <c r="B452" s="9">
        <v>2018</v>
      </c>
      <c r="C452" s="9" t="str">
        <f>TEXT(B452,"YYYY-MM")</f>
        <v>1905-07</v>
      </c>
      <c r="D452" s="10">
        <v>2018</v>
      </c>
      <c r="E452" s="8" t="s">
        <v>59</v>
      </c>
      <c r="F452" s="8" t="s">
        <v>60</v>
      </c>
      <c r="G452" s="8" t="s">
        <v>33</v>
      </c>
      <c r="H452" s="8" t="s">
        <v>46</v>
      </c>
      <c r="I452" s="10">
        <v>81.94</v>
      </c>
      <c r="J452" s="10">
        <v>473.66</v>
      </c>
      <c r="K452" s="10">
        <v>5780.55</v>
      </c>
      <c r="L452" s="8" t="s">
        <v>34</v>
      </c>
      <c r="M452" s="8" t="s">
        <v>47</v>
      </c>
      <c r="N452" s="10">
        <v>189.04</v>
      </c>
      <c r="O452" s="10">
        <v>270.92</v>
      </c>
      <c r="P452" s="8" t="s">
        <v>70</v>
      </c>
      <c r="Q452" s="10">
        <v>27.99</v>
      </c>
      <c r="R452" s="10">
        <f xml:space="preserve"> Table1_2[[#This Row],[Yield (Kg/Ha)]]/Table1_2[[#This Row],[Area (Hectares)]]</f>
        <v>70.546131315596782</v>
      </c>
      <c r="S452" s="10">
        <f>Table1_2[[#This Row],[Yield per Acre]]/Table1_2[[#This Row],[Yield (Kg/Ha)]]</f>
        <v>1.22040517451794E-2</v>
      </c>
      <c r="T452" s="11">
        <f>Table1_2[[#This Row],[Yield per Acre]]/N452</f>
        <v>0.37318097395046967</v>
      </c>
    </row>
    <row r="453" spans="1:20" x14ac:dyDescent="0.3">
      <c r="A453" s="8" t="s">
        <v>518</v>
      </c>
      <c r="B453" s="9">
        <v>2019</v>
      </c>
      <c r="C453" s="9" t="str">
        <f>TEXT(B453,"YYYY-MM")</f>
        <v>1905-07</v>
      </c>
      <c r="D453" s="10">
        <v>2019</v>
      </c>
      <c r="E453" s="8" t="s">
        <v>36</v>
      </c>
      <c r="F453" s="8" t="s">
        <v>37</v>
      </c>
      <c r="G453" s="8" t="s">
        <v>33</v>
      </c>
      <c r="H453" s="8" t="s">
        <v>27</v>
      </c>
      <c r="I453" s="10">
        <v>16.739999999999998</v>
      </c>
      <c r="J453" s="10">
        <v>65.19</v>
      </c>
      <c r="K453" s="10">
        <v>3894.25</v>
      </c>
      <c r="L453" s="8" t="s">
        <v>21</v>
      </c>
      <c r="M453" s="8" t="s">
        <v>47</v>
      </c>
      <c r="N453" s="10">
        <v>135.18</v>
      </c>
      <c r="O453" s="10">
        <v>1013.92</v>
      </c>
      <c r="P453" s="8" t="s">
        <v>61</v>
      </c>
      <c r="Q453" s="10">
        <v>26.47</v>
      </c>
      <c r="R453" s="10">
        <f xml:space="preserve"> Table1_2[[#This Row],[Yield (Kg/Ha)]]/Table1_2[[#This Row],[Area (Hectares)]]</f>
        <v>232.631421744325</v>
      </c>
      <c r="S453" s="10">
        <f>Table1_2[[#This Row],[Yield per Acre]]/Table1_2[[#This Row],[Yield (Kg/Ha)]]</f>
        <v>5.9737156511350066E-2</v>
      </c>
      <c r="T453" s="11">
        <f>Table1_2[[#This Row],[Yield per Acre]]/N453</f>
        <v>1.7209011817156752</v>
      </c>
    </row>
    <row r="454" spans="1:20" x14ac:dyDescent="0.3">
      <c r="A454" s="8" t="s">
        <v>519</v>
      </c>
      <c r="B454" s="9">
        <v>2018</v>
      </c>
      <c r="C454" s="9" t="str">
        <f>TEXT(B454,"YYYY-MM")</f>
        <v>1905-07</v>
      </c>
      <c r="D454" s="10">
        <v>2018</v>
      </c>
      <c r="E454" s="8" t="s">
        <v>44</v>
      </c>
      <c r="F454" s="8" t="s">
        <v>99</v>
      </c>
      <c r="G454" s="8" t="s">
        <v>19</v>
      </c>
      <c r="H454" s="8" t="s">
        <v>56</v>
      </c>
      <c r="I454" s="10">
        <v>18.14</v>
      </c>
      <c r="J454" s="10">
        <v>91.02</v>
      </c>
      <c r="K454" s="10">
        <v>5017.63</v>
      </c>
      <c r="L454" s="8" t="s">
        <v>28</v>
      </c>
      <c r="M454" s="8" t="s">
        <v>29</v>
      </c>
      <c r="N454" s="10">
        <v>78.58</v>
      </c>
      <c r="O454" s="10">
        <v>796.08</v>
      </c>
      <c r="P454" s="8" t="s">
        <v>70</v>
      </c>
      <c r="Q454" s="10">
        <v>28.33</v>
      </c>
      <c r="R454" s="10">
        <f xml:space="preserve"> Table1_2[[#This Row],[Yield (Kg/Ha)]]/Table1_2[[#This Row],[Area (Hectares)]]</f>
        <v>276.60584343991178</v>
      </c>
      <c r="S454" s="10">
        <f>Table1_2[[#This Row],[Yield per Acre]]/Table1_2[[#This Row],[Yield (Kg/Ha)]]</f>
        <v>5.5126791620727672E-2</v>
      </c>
      <c r="T454" s="11">
        <f>Table1_2[[#This Row],[Yield per Acre]]/N454</f>
        <v>3.5200540015259834</v>
      </c>
    </row>
    <row r="455" spans="1:20" x14ac:dyDescent="0.3">
      <c r="A455" s="8" t="s">
        <v>520</v>
      </c>
      <c r="B455" s="9">
        <v>2016</v>
      </c>
      <c r="C455" s="9" t="str">
        <f>TEXT(B455,"YYYY-MM")</f>
        <v>1905-07</v>
      </c>
      <c r="D455" s="10">
        <v>2016</v>
      </c>
      <c r="E455" s="8" t="s">
        <v>103</v>
      </c>
      <c r="F455" s="8" t="s">
        <v>107</v>
      </c>
      <c r="G455" s="8" t="s">
        <v>33</v>
      </c>
      <c r="H455" s="8" t="s">
        <v>27</v>
      </c>
      <c r="I455" s="10">
        <v>11.77</v>
      </c>
      <c r="J455" s="10">
        <v>69.260000000000005</v>
      </c>
      <c r="K455" s="10">
        <v>5884.4</v>
      </c>
      <c r="L455" s="8" t="s">
        <v>28</v>
      </c>
      <c r="M455" s="8" t="s">
        <v>47</v>
      </c>
      <c r="N455" s="10">
        <v>131.85</v>
      </c>
      <c r="O455" s="10">
        <v>844.99</v>
      </c>
      <c r="P455" s="8" t="s">
        <v>23</v>
      </c>
      <c r="Q455" s="10">
        <v>21.36</v>
      </c>
      <c r="R455" s="10">
        <f xml:space="preserve"> Table1_2[[#This Row],[Yield (Kg/Ha)]]/Table1_2[[#This Row],[Area (Hectares)]]</f>
        <v>499.94902293967715</v>
      </c>
      <c r="S455" s="10">
        <f>Table1_2[[#This Row],[Yield per Acre]]/Table1_2[[#This Row],[Yield (Kg/Ha)]]</f>
        <v>8.4961767204757871E-2</v>
      </c>
      <c r="T455" s="11">
        <f>Table1_2[[#This Row],[Yield per Acre]]/N455</f>
        <v>3.7918014633270927</v>
      </c>
    </row>
    <row r="456" spans="1:20" x14ac:dyDescent="0.3">
      <c r="A456" s="8" t="s">
        <v>521</v>
      </c>
      <c r="B456" s="9">
        <v>2022</v>
      </c>
      <c r="C456" s="9" t="str">
        <f>TEXT(B456,"YYYY-MM")</f>
        <v>1905-07</v>
      </c>
      <c r="D456" s="10">
        <v>2022</v>
      </c>
      <c r="E456" s="8" t="s">
        <v>44</v>
      </c>
      <c r="F456" s="8" t="s">
        <v>67</v>
      </c>
      <c r="G456" s="8" t="s">
        <v>33</v>
      </c>
      <c r="H456" s="8" t="s">
        <v>56</v>
      </c>
      <c r="I456" s="10">
        <v>66.430000000000007</v>
      </c>
      <c r="J456" s="10">
        <v>246.98</v>
      </c>
      <c r="K456" s="10">
        <v>3717.85</v>
      </c>
      <c r="L456" s="8" t="s">
        <v>34</v>
      </c>
      <c r="M456" s="8" t="s">
        <v>49</v>
      </c>
      <c r="N456" s="10">
        <v>147.5</v>
      </c>
      <c r="O456" s="10">
        <v>777.93</v>
      </c>
      <c r="P456" s="8" t="s">
        <v>42</v>
      </c>
      <c r="Q456" s="10">
        <v>23.08</v>
      </c>
      <c r="R456" s="10">
        <f xml:space="preserve"> Table1_2[[#This Row],[Yield (Kg/Ha)]]/Table1_2[[#This Row],[Area (Hectares)]]</f>
        <v>55.966430829444519</v>
      </c>
      <c r="S456" s="10">
        <f>Table1_2[[#This Row],[Yield per Acre]]/Table1_2[[#This Row],[Yield (Kg/Ha)]]</f>
        <v>1.5053439710973955E-2</v>
      </c>
      <c r="T456" s="11">
        <f>Table1_2[[#This Row],[Yield per Acre]]/N456</f>
        <v>0.37943342935216623</v>
      </c>
    </row>
    <row r="457" spans="1:20" x14ac:dyDescent="0.3">
      <c r="A457" s="8" t="s">
        <v>522</v>
      </c>
      <c r="B457" s="9">
        <v>2014</v>
      </c>
      <c r="C457" s="9" t="str">
        <f>TEXT(B457,"YYYY-MM")</f>
        <v>1905-07</v>
      </c>
      <c r="D457" s="10">
        <v>2014</v>
      </c>
      <c r="E457" s="8" t="s">
        <v>59</v>
      </c>
      <c r="F457" s="8" t="s">
        <v>93</v>
      </c>
      <c r="G457" s="8" t="s">
        <v>38</v>
      </c>
      <c r="H457" s="8" t="s">
        <v>39</v>
      </c>
      <c r="I457" s="10">
        <v>98.28</v>
      </c>
      <c r="J457" s="10">
        <v>301.29000000000002</v>
      </c>
      <c r="K457" s="10">
        <v>3065.59</v>
      </c>
      <c r="L457" s="8" t="s">
        <v>21</v>
      </c>
      <c r="M457" s="8" t="s">
        <v>49</v>
      </c>
      <c r="N457" s="10">
        <v>195.68</v>
      </c>
      <c r="O457" s="10">
        <v>811.49</v>
      </c>
      <c r="P457" s="8" t="s">
        <v>61</v>
      </c>
      <c r="Q457" s="10">
        <v>26.06</v>
      </c>
      <c r="R457" s="10">
        <f xml:space="preserve"> Table1_2[[#This Row],[Yield (Kg/Ha)]]/Table1_2[[#This Row],[Area (Hectares)]]</f>
        <v>31.192409442409442</v>
      </c>
      <c r="S457" s="10">
        <f>Table1_2[[#This Row],[Yield per Acre]]/Table1_2[[#This Row],[Yield (Kg/Ha)]]</f>
        <v>1.0175010175010175E-2</v>
      </c>
      <c r="T457" s="11">
        <f>Table1_2[[#This Row],[Yield per Acre]]/N457</f>
        <v>0.15940519952171628</v>
      </c>
    </row>
    <row r="458" spans="1:20" x14ac:dyDescent="0.3">
      <c r="A458" s="8" t="s">
        <v>523</v>
      </c>
      <c r="B458" s="9">
        <v>2018</v>
      </c>
      <c r="C458" s="9" t="str">
        <f>TEXT(B458,"YYYY-MM")</f>
        <v>1905-07</v>
      </c>
      <c r="D458" s="10">
        <v>2018</v>
      </c>
      <c r="E458" s="8" t="s">
        <v>25</v>
      </c>
      <c r="F458" s="8" t="s">
        <v>87</v>
      </c>
      <c r="G458" s="8" t="s">
        <v>33</v>
      </c>
      <c r="H458" s="8" t="s">
        <v>64</v>
      </c>
      <c r="I458" s="10">
        <v>70.63</v>
      </c>
      <c r="J458" s="10">
        <v>418.45</v>
      </c>
      <c r="K458" s="10">
        <v>5924.52</v>
      </c>
      <c r="L458" s="8" t="s">
        <v>34</v>
      </c>
      <c r="M458" s="8" t="s">
        <v>29</v>
      </c>
      <c r="N458" s="10">
        <v>77.42</v>
      </c>
      <c r="O458" s="10">
        <v>482.21</v>
      </c>
      <c r="P458" s="8" t="s">
        <v>23</v>
      </c>
      <c r="Q458" s="10">
        <v>23.53</v>
      </c>
      <c r="R458" s="10">
        <f xml:space="preserve"> Table1_2[[#This Row],[Yield (Kg/Ha)]]/Table1_2[[#This Row],[Area (Hectares)]]</f>
        <v>83.881070366699717</v>
      </c>
      <c r="S458" s="10">
        <f>Table1_2[[#This Row],[Yield per Acre]]/Table1_2[[#This Row],[Yield (Kg/Ha)]]</f>
        <v>1.4158289678606826E-2</v>
      </c>
      <c r="T458" s="11">
        <f>Table1_2[[#This Row],[Yield per Acre]]/N458</f>
        <v>1.0834547967798982</v>
      </c>
    </row>
    <row r="459" spans="1:20" x14ac:dyDescent="0.3">
      <c r="A459" s="8" t="s">
        <v>524</v>
      </c>
      <c r="B459" s="9">
        <v>2022</v>
      </c>
      <c r="C459" s="9" t="str">
        <f>TEXT(B459,"YYYY-MM")</f>
        <v>1905-07</v>
      </c>
      <c r="D459" s="10">
        <v>2021</v>
      </c>
      <c r="E459" s="8" t="s">
        <v>17</v>
      </c>
      <c r="F459" s="8" t="s">
        <v>72</v>
      </c>
      <c r="G459" s="8" t="s">
        <v>38</v>
      </c>
      <c r="H459" s="8" t="s">
        <v>46</v>
      </c>
      <c r="I459" s="10">
        <v>38.770000000000003</v>
      </c>
      <c r="J459" s="10">
        <v>165.58</v>
      </c>
      <c r="K459" s="10">
        <v>4270.71</v>
      </c>
      <c r="L459" s="8" t="s">
        <v>40</v>
      </c>
      <c r="M459" s="8" t="s">
        <v>29</v>
      </c>
      <c r="N459" s="10">
        <v>168.72</v>
      </c>
      <c r="O459" s="10">
        <v>388.23</v>
      </c>
      <c r="P459" s="8" t="s">
        <v>52</v>
      </c>
      <c r="Q459" s="10">
        <v>32.65</v>
      </c>
      <c r="R459" s="10">
        <f xml:space="preserve"> Table1_2[[#This Row],[Yield (Kg/Ha)]]/Table1_2[[#This Row],[Area (Hectares)]]</f>
        <v>110.15501676554035</v>
      </c>
      <c r="S459" s="10">
        <f>Table1_2[[#This Row],[Yield per Acre]]/Table1_2[[#This Row],[Yield (Kg/Ha)]]</f>
        <v>2.579313902501934E-2</v>
      </c>
      <c r="T459" s="11">
        <f>Table1_2[[#This Row],[Yield per Acre]]/N459</f>
        <v>0.65288653843966549</v>
      </c>
    </row>
    <row r="460" spans="1:20" x14ac:dyDescent="0.3">
      <c r="A460" s="8" t="s">
        <v>525</v>
      </c>
      <c r="B460" s="9">
        <v>2020</v>
      </c>
      <c r="C460" s="9" t="str">
        <f>TEXT(B460,"YYYY-MM")</f>
        <v>1905-07</v>
      </c>
      <c r="D460" s="10">
        <v>2020</v>
      </c>
      <c r="E460" s="8" t="s">
        <v>103</v>
      </c>
      <c r="F460" s="8" t="s">
        <v>107</v>
      </c>
      <c r="G460" s="8" t="s">
        <v>33</v>
      </c>
      <c r="H460" s="8" t="s">
        <v>56</v>
      </c>
      <c r="I460" s="10">
        <v>2.15</v>
      </c>
      <c r="J460" s="10">
        <v>10.51</v>
      </c>
      <c r="K460" s="10">
        <v>4890.34</v>
      </c>
      <c r="L460" s="8" t="s">
        <v>40</v>
      </c>
      <c r="M460" s="8" t="s">
        <v>22</v>
      </c>
      <c r="N460" s="10">
        <v>230.33</v>
      </c>
      <c r="O460" s="10">
        <v>686.7</v>
      </c>
      <c r="P460" s="8" t="s">
        <v>52</v>
      </c>
      <c r="Q460" s="10">
        <v>34.619999999999997</v>
      </c>
      <c r="R460" s="10">
        <f xml:space="preserve"> Table1_2[[#This Row],[Yield (Kg/Ha)]]/Table1_2[[#This Row],[Area (Hectares)]]</f>
        <v>2274.5767441860467</v>
      </c>
      <c r="S460" s="10">
        <f>Table1_2[[#This Row],[Yield per Acre]]/Table1_2[[#This Row],[Yield (Kg/Ha)]]</f>
        <v>0.46511627906976744</v>
      </c>
      <c r="T460" s="11">
        <f>Table1_2[[#This Row],[Yield per Acre]]/N460</f>
        <v>9.8752952033432315</v>
      </c>
    </row>
    <row r="461" spans="1:20" x14ac:dyDescent="0.3">
      <c r="A461" s="8" t="s">
        <v>526</v>
      </c>
      <c r="B461" s="9">
        <v>2023</v>
      </c>
      <c r="C461" s="9" t="str">
        <f>TEXT(B461,"YYYY-MM")</f>
        <v>1905-07</v>
      </c>
      <c r="D461" s="10">
        <v>2022</v>
      </c>
      <c r="E461" s="8" t="s">
        <v>103</v>
      </c>
      <c r="F461" s="8" t="s">
        <v>228</v>
      </c>
      <c r="G461" s="8" t="s">
        <v>38</v>
      </c>
      <c r="H461" s="8" t="s">
        <v>46</v>
      </c>
      <c r="I461" s="10">
        <v>89.46</v>
      </c>
      <c r="J461" s="10">
        <v>462.72</v>
      </c>
      <c r="K461" s="10">
        <v>5172.34</v>
      </c>
      <c r="L461" s="8" t="s">
        <v>28</v>
      </c>
      <c r="M461" s="8" t="s">
        <v>29</v>
      </c>
      <c r="N461" s="10">
        <v>205.81</v>
      </c>
      <c r="O461" s="10">
        <v>654.39</v>
      </c>
      <c r="P461" s="8" t="s">
        <v>52</v>
      </c>
      <c r="Q461" s="10">
        <v>28.28</v>
      </c>
      <c r="R461" s="10">
        <f xml:space="preserve"> Table1_2[[#This Row],[Yield (Kg/Ha)]]/Table1_2[[#This Row],[Area (Hectares)]]</f>
        <v>57.817348535658404</v>
      </c>
      <c r="S461" s="10">
        <f>Table1_2[[#This Row],[Yield per Acre]]/Table1_2[[#This Row],[Yield (Kg/Ha)]]</f>
        <v>1.11781801922647E-2</v>
      </c>
      <c r="T461" s="11">
        <f>Table1_2[[#This Row],[Yield per Acre]]/N461</f>
        <v>0.28092584682794036</v>
      </c>
    </row>
    <row r="462" spans="1:20" x14ac:dyDescent="0.3">
      <c r="A462" s="8" t="s">
        <v>527</v>
      </c>
      <c r="B462" s="9">
        <v>2012</v>
      </c>
      <c r="C462" s="9" t="str">
        <f>TEXT(B462,"YYYY-MM")</f>
        <v>1905-07</v>
      </c>
      <c r="D462" s="10">
        <v>2012</v>
      </c>
      <c r="E462" s="8" t="s">
        <v>31</v>
      </c>
      <c r="F462" s="8" t="s">
        <v>82</v>
      </c>
      <c r="G462" s="8" t="s">
        <v>38</v>
      </c>
      <c r="H462" s="8" t="s">
        <v>27</v>
      </c>
      <c r="I462" s="10">
        <v>1.74</v>
      </c>
      <c r="J462" s="10">
        <v>6.94</v>
      </c>
      <c r="K462" s="10">
        <v>3988.94</v>
      </c>
      <c r="L462" s="8" t="s">
        <v>40</v>
      </c>
      <c r="M462" s="8" t="s">
        <v>22</v>
      </c>
      <c r="N462" s="10">
        <v>228.03</v>
      </c>
      <c r="O462" s="10">
        <v>469.25</v>
      </c>
      <c r="P462" s="8" t="s">
        <v>61</v>
      </c>
      <c r="Q462" s="10">
        <v>28.65</v>
      </c>
      <c r="R462" s="10">
        <f xml:space="preserve"> Table1_2[[#This Row],[Yield (Kg/Ha)]]/Table1_2[[#This Row],[Area (Hectares)]]</f>
        <v>2292.4942528735633</v>
      </c>
      <c r="S462" s="10">
        <f>Table1_2[[#This Row],[Yield per Acre]]/Table1_2[[#This Row],[Yield (Kg/Ha)]]</f>
        <v>0.57471264367816088</v>
      </c>
      <c r="T462" s="11">
        <f>Table1_2[[#This Row],[Yield per Acre]]/N462</f>
        <v>10.053476528849552</v>
      </c>
    </row>
    <row r="463" spans="1:20" x14ac:dyDescent="0.3">
      <c r="A463" s="8" t="s">
        <v>528</v>
      </c>
      <c r="B463" s="9">
        <v>2021</v>
      </c>
      <c r="C463" s="9" t="str">
        <f>TEXT(B463,"YYYY-MM")</f>
        <v>1905-07</v>
      </c>
      <c r="D463" s="10">
        <v>2021</v>
      </c>
      <c r="E463" s="8" t="s">
        <v>59</v>
      </c>
      <c r="F463" s="8" t="s">
        <v>63</v>
      </c>
      <c r="G463" s="8" t="s">
        <v>38</v>
      </c>
      <c r="H463" s="8" t="s">
        <v>64</v>
      </c>
      <c r="I463" s="10">
        <v>58.45</v>
      </c>
      <c r="J463" s="10">
        <v>395.73</v>
      </c>
      <c r="K463" s="10">
        <v>6770.43</v>
      </c>
      <c r="L463" s="8" t="s">
        <v>21</v>
      </c>
      <c r="M463" s="8" t="s">
        <v>47</v>
      </c>
      <c r="N463" s="10">
        <v>85.52</v>
      </c>
      <c r="O463" s="10">
        <v>931.29</v>
      </c>
      <c r="P463" s="8" t="s">
        <v>70</v>
      </c>
      <c r="Q463" s="10">
        <v>26.97</v>
      </c>
      <c r="R463" s="10">
        <f xml:space="preserve"> Table1_2[[#This Row],[Yield (Kg/Ha)]]/Table1_2[[#This Row],[Area (Hectares)]]</f>
        <v>115.83284858853722</v>
      </c>
      <c r="S463" s="10">
        <f>Table1_2[[#This Row],[Yield per Acre]]/Table1_2[[#This Row],[Yield (Kg/Ha)]]</f>
        <v>1.7108639863130881E-2</v>
      </c>
      <c r="T463" s="11">
        <f>Table1_2[[#This Row],[Yield per Acre]]/N463</f>
        <v>1.3544533277424839</v>
      </c>
    </row>
    <row r="464" spans="1:20" x14ac:dyDescent="0.3">
      <c r="A464" s="8" t="s">
        <v>529</v>
      </c>
      <c r="B464" s="9">
        <v>2013</v>
      </c>
      <c r="C464" s="9" t="str">
        <f>TEXT(B464,"YYYY-MM")</f>
        <v>1905-07</v>
      </c>
      <c r="D464" s="10">
        <v>2013</v>
      </c>
      <c r="E464" s="8" t="s">
        <v>59</v>
      </c>
      <c r="F464" s="8" t="s">
        <v>60</v>
      </c>
      <c r="G464" s="8" t="s">
        <v>38</v>
      </c>
      <c r="H464" s="8" t="s">
        <v>39</v>
      </c>
      <c r="I464" s="10">
        <v>74.430000000000007</v>
      </c>
      <c r="J464" s="10">
        <v>503.33</v>
      </c>
      <c r="K464" s="10">
        <v>6762.47</v>
      </c>
      <c r="L464" s="8" t="s">
        <v>21</v>
      </c>
      <c r="M464" s="8" t="s">
        <v>49</v>
      </c>
      <c r="N464" s="10">
        <v>221.02</v>
      </c>
      <c r="O464" s="10">
        <v>739.2</v>
      </c>
      <c r="P464" s="8" t="s">
        <v>61</v>
      </c>
      <c r="Q464" s="10">
        <v>24.69</v>
      </c>
      <c r="R464" s="10">
        <f xml:space="preserve"> Table1_2[[#This Row],[Yield (Kg/Ha)]]/Table1_2[[#This Row],[Area (Hectares)]]</f>
        <v>90.856778180841047</v>
      </c>
      <c r="S464" s="10">
        <f>Table1_2[[#This Row],[Yield per Acre]]/Table1_2[[#This Row],[Yield (Kg/Ha)]]</f>
        <v>1.3435442697836891E-2</v>
      </c>
      <c r="T464" s="11">
        <f>Table1_2[[#This Row],[Yield per Acre]]/N464</f>
        <v>0.41107944159280174</v>
      </c>
    </row>
    <row r="465" spans="1:20" x14ac:dyDescent="0.3">
      <c r="A465" s="8" t="s">
        <v>530</v>
      </c>
      <c r="B465" s="9">
        <v>2017</v>
      </c>
      <c r="C465" s="9" t="str">
        <f>TEXT(B465,"YYYY-MM")</f>
        <v>1905-07</v>
      </c>
      <c r="D465" s="10">
        <v>2017</v>
      </c>
      <c r="E465" s="8" t="s">
        <v>59</v>
      </c>
      <c r="F465" s="8" t="s">
        <v>60</v>
      </c>
      <c r="G465" s="8" t="s">
        <v>38</v>
      </c>
      <c r="H465" s="8" t="s">
        <v>27</v>
      </c>
      <c r="I465" s="10">
        <v>90.7</v>
      </c>
      <c r="J465" s="10">
        <v>403.05</v>
      </c>
      <c r="K465" s="10">
        <v>4443.79</v>
      </c>
      <c r="L465" s="8" t="s">
        <v>34</v>
      </c>
      <c r="M465" s="8" t="s">
        <v>47</v>
      </c>
      <c r="N465" s="10">
        <v>155.25</v>
      </c>
      <c r="O465" s="10">
        <v>1160.58</v>
      </c>
      <c r="P465" s="8" t="s">
        <v>70</v>
      </c>
      <c r="Q465" s="10">
        <v>24.34</v>
      </c>
      <c r="R465" s="10">
        <f xml:space="preserve"> Table1_2[[#This Row],[Yield (Kg/Ha)]]/Table1_2[[#This Row],[Area (Hectares)]]</f>
        <v>48.994377067254682</v>
      </c>
      <c r="S465" s="10">
        <f>Table1_2[[#This Row],[Yield per Acre]]/Table1_2[[#This Row],[Yield (Kg/Ha)]]</f>
        <v>1.1025358324145534E-2</v>
      </c>
      <c r="T465" s="11">
        <f>Table1_2[[#This Row],[Yield per Acre]]/N465</f>
        <v>0.315583749225473</v>
      </c>
    </row>
    <row r="466" spans="1:20" x14ac:dyDescent="0.3">
      <c r="A466" s="8" t="s">
        <v>531</v>
      </c>
      <c r="B466" s="9">
        <v>2021</v>
      </c>
      <c r="C466" s="9" t="str">
        <f>TEXT(B466,"YYYY-MM")</f>
        <v>1905-07</v>
      </c>
      <c r="D466" s="10">
        <v>2021</v>
      </c>
      <c r="E466" s="8" t="s">
        <v>17</v>
      </c>
      <c r="F466" s="8" t="s">
        <v>72</v>
      </c>
      <c r="G466" s="8" t="s">
        <v>19</v>
      </c>
      <c r="H466" s="8" t="s">
        <v>20</v>
      </c>
      <c r="I466" s="10">
        <v>7.08</v>
      </c>
      <c r="J466" s="10">
        <v>27.18</v>
      </c>
      <c r="K466" s="10">
        <v>3838.96</v>
      </c>
      <c r="L466" s="8" t="s">
        <v>40</v>
      </c>
      <c r="M466" s="8" t="s">
        <v>22</v>
      </c>
      <c r="N466" s="10">
        <v>193.21</v>
      </c>
      <c r="O466" s="10">
        <v>856.32</v>
      </c>
      <c r="P466" s="8" t="s">
        <v>70</v>
      </c>
      <c r="Q466" s="10">
        <v>32.130000000000003</v>
      </c>
      <c r="R466" s="10">
        <f xml:space="preserve"> Table1_2[[#This Row],[Yield (Kg/Ha)]]/Table1_2[[#This Row],[Area (Hectares)]]</f>
        <v>542.22598870056493</v>
      </c>
      <c r="S466" s="10">
        <f>Table1_2[[#This Row],[Yield per Acre]]/Table1_2[[#This Row],[Yield (Kg/Ha)]]</f>
        <v>0.14124293785310732</v>
      </c>
      <c r="T466" s="11">
        <f>Table1_2[[#This Row],[Yield per Acre]]/N466</f>
        <v>2.8064074773591683</v>
      </c>
    </row>
    <row r="467" spans="1:20" x14ac:dyDescent="0.3">
      <c r="A467" s="8" t="s">
        <v>532</v>
      </c>
      <c r="B467" s="9">
        <v>2011</v>
      </c>
      <c r="C467" s="9" t="str">
        <f>TEXT(B467,"YYYY-MM")</f>
        <v>1905-07</v>
      </c>
      <c r="D467" s="10">
        <v>2011</v>
      </c>
      <c r="E467" s="8" t="s">
        <v>31</v>
      </c>
      <c r="F467" s="8" t="s">
        <v>32</v>
      </c>
      <c r="G467" s="8" t="s">
        <v>33</v>
      </c>
      <c r="H467" s="8" t="s">
        <v>27</v>
      </c>
      <c r="I467" s="10">
        <v>8.61</v>
      </c>
      <c r="J467" s="10">
        <v>49.1</v>
      </c>
      <c r="K467" s="10">
        <v>5702.58</v>
      </c>
      <c r="L467" s="8" t="s">
        <v>34</v>
      </c>
      <c r="M467" s="8" t="s">
        <v>47</v>
      </c>
      <c r="N467" s="10">
        <v>83.13</v>
      </c>
      <c r="O467" s="10">
        <v>480.97</v>
      </c>
      <c r="P467" s="8" t="s">
        <v>70</v>
      </c>
      <c r="Q467" s="10">
        <v>20.21</v>
      </c>
      <c r="R467" s="10">
        <f xml:space="preserve"> Table1_2[[#This Row],[Yield (Kg/Ha)]]/Table1_2[[#This Row],[Area (Hectares)]]</f>
        <v>662.32055749128926</v>
      </c>
      <c r="S467" s="10">
        <f>Table1_2[[#This Row],[Yield per Acre]]/Table1_2[[#This Row],[Yield (Kg/Ha)]]</f>
        <v>0.11614401858304299</v>
      </c>
      <c r="T467" s="11">
        <f>Table1_2[[#This Row],[Yield per Acre]]/N467</f>
        <v>7.9672868698579249</v>
      </c>
    </row>
    <row r="468" spans="1:20" x14ac:dyDescent="0.3">
      <c r="A468" s="8" t="s">
        <v>533</v>
      </c>
      <c r="B468" s="9">
        <v>2021</v>
      </c>
      <c r="C468" s="9" t="str">
        <f>TEXT(B468,"YYYY-MM")</f>
        <v>1905-07</v>
      </c>
      <c r="D468" s="10">
        <v>2021</v>
      </c>
      <c r="E468" s="8" t="s">
        <v>103</v>
      </c>
      <c r="F468" s="8" t="s">
        <v>228</v>
      </c>
      <c r="G468" s="8" t="s">
        <v>33</v>
      </c>
      <c r="H468" s="8" t="s">
        <v>39</v>
      </c>
      <c r="I468" s="10">
        <v>45.22</v>
      </c>
      <c r="J468" s="10">
        <v>264.39999999999998</v>
      </c>
      <c r="K468" s="10">
        <v>5847.04</v>
      </c>
      <c r="L468" s="8" t="s">
        <v>34</v>
      </c>
      <c r="M468" s="8" t="s">
        <v>49</v>
      </c>
      <c r="N468" s="10">
        <v>245.63</v>
      </c>
      <c r="O468" s="10">
        <v>436.2</v>
      </c>
      <c r="P468" s="8" t="s">
        <v>42</v>
      </c>
      <c r="Q468" s="10">
        <v>31.99</v>
      </c>
      <c r="R468" s="10">
        <f xml:space="preserve"> Table1_2[[#This Row],[Yield (Kg/Ha)]]/Table1_2[[#This Row],[Area (Hectares)]]</f>
        <v>129.30207872622734</v>
      </c>
      <c r="S468" s="10">
        <f>Table1_2[[#This Row],[Yield per Acre]]/Table1_2[[#This Row],[Yield (Kg/Ha)]]</f>
        <v>2.2114108801415303E-2</v>
      </c>
      <c r="T468" s="11">
        <f>Table1_2[[#This Row],[Yield per Acre]]/N468</f>
        <v>0.52640996102360194</v>
      </c>
    </row>
    <row r="469" spans="1:20" x14ac:dyDescent="0.3">
      <c r="A469" s="8" t="s">
        <v>534</v>
      </c>
      <c r="B469" s="9">
        <v>2019</v>
      </c>
      <c r="C469" s="9" t="str">
        <f>TEXT(B469,"YYYY-MM")</f>
        <v>1905-07</v>
      </c>
      <c r="D469" s="10">
        <v>2019</v>
      </c>
      <c r="E469" s="8" t="s">
        <v>25</v>
      </c>
      <c r="F469" s="8" t="s">
        <v>26</v>
      </c>
      <c r="G469" s="8" t="s">
        <v>33</v>
      </c>
      <c r="H469" s="8" t="s">
        <v>46</v>
      </c>
      <c r="I469" s="10">
        <v>75.52</v>
      </c>
      <c r="J469" s="10">
        <v>262.64</v>
      </c>
      <c r="K469" s="10">
        <v>3477.69</v>
      </c>
      <c r="L469" s="8" t="s">
        <v>28</v>
      </c>
      <c r="M469" s="8" t="s">
        <v>22</v>
      </c>
      <c r="N469" s="10">
        <v>109.49</v>
      </c>
      <c r="O469" s="10">
        <v>640.19000000000005</v>
      </c>
      <c r="P469" s="8" t="s">
        <v>42</v>
      </c>
      <c r="Q469" s="10">
        <v>23.16</v>
      </c>
      <c r="R469" s="10">
        <f xml:space="preserve"> Table1_2[[#This Row],[Yield (Kg/Ha)]]/Table1_2[[#This Row],[Area (Hectares)]]</f>
        <v>46.04992055084746</v>
      </c>
      <c r="S469" s="10">
        <f>Table1_2[[#This Row],[Yield per Acre]]/Table1_2[[#This Row],[Yield (Kg/Ha)]]</f>
        <v>1.3241525423728815E-2</v>
      </c>
      <c r="T469" s="11">
        <f>Table1_2[[#This Row],[Yield per Acre]]/N469</f>
        <v>0.42058562928895299</v>
      </c>
    </row>
    <row r="470" spans="1:20" x14ac:dyDescent="0.3">
      <c r="A470" s="8" t="s">
        <v>535</v>
      </c>
      <c r="B470" s="9">
        <v>2022</v>
      </c>
      <c r="C470" s="9" t="str">
        <f>TEXT(B470,"YYYY-MM")</f>
        <v>1905-07</v>
      </c>
      <c r="D470" s="10">
        <v>2022</v>
      </c>
      <c r="E470" s="8" t="s">
        <v>17</v>
      </c>
      <c r="F470" s="8" t="s">
        <v>72</v>
      </c>
      <c r="G470" s="8" t="s">
        <v>33</v>
      </c>
      <c r="H470" s="8" t="s">
        <v>64</v>
      </c>
      <c r="I470" s="10">
        <v>17.59</v>
      </c>
      <c r="J470" s="10">
        <v>59.67</v>
      </c>
      <c r="K470" s="10">
        <v>3392.47</v>
      </c>
      <c r="L470" s="8" t="s">
        <v>34</v>
      </c>
      <c r="M470" s="8" t="s">
        <v>29</v>
      </c>
      <c r="N470" s="10">
        <v>169.07</v>
      </c>
      <c r="O470" s="10">
        <v>1148.25</v>
      </c>
      <c r="P470" s="8" t="s">
        <v>61</v>
      </c>
      <c r="Q470" s="10">
        <v>23.5</v>
      </c>
      <c r="R470" s="10">
        <f xml:space="preserve"> Table1_2[[#This Row],[Yield (Kg/Ha)]]/Table1_2[[#This Row],[Area (Hectares)]]</f>
        <v>192.86355884025014</v>
      </c>
      <c r="S470" s="10">
        <f>Table1_2[[#This Row],[Yield per Acre]]/Table1_2[[#This Row],[Yield (Kg/Ha)]]</f>
        <v>5.6850483229107449E-2</v>
      </c>
      <c r="T470" s="11">
        <f>Table1_2[[#This Row],[Yield per Acre]]/N470</f>
        <v>1.1407319976355956</v>
      </c>
    </row>
    <row r="471" spans="1:20" x14ac:dyDescent="0.3">
      <c r="A471" s="8" t="s">
        <v>536</v>
      </c>
      <c r="B471" s="9">
        <v>2019</v>
      </c>
      <c r="C471" s="9" t="str">
        <f>TEXT(B471,"YYYY-MM")</f>
        <v>1905-07</v>
      </c>
      <c r="D471" s="10">
        <v>2018</v>
      </c>
      <c r="E471" s="8" t="s">
        <v>31</v>
      </c>
      <c r="F471" s="8" t="s">
        <v>82</v>
      </c>
      <c r="G471" s="8" t="s">
        <v>38</v>
      </c>
      <c r="H471" s="8" t="s">
        <v>64</v>
      </c>
      <c r="I471" s="10">
        <v>29.59</v>
      </c>
      <c r="J471" s="10">
        <v>171.14</v>
      </c>
      <c r="K471" s="10">
        <v>5783.85</v>
      </c>
      <c r="L471" s="8" t="s">
        <v>28</v>
      </c>
      <c r="M471" s="8" t="s">
        <v>49</v>
      </c>
      <c r="N471" s="10">
        <v>219.62</v>
      </c>
      <c r="O471" s="10">
        <v>1161.76</v>
      </c>
      <c r="P471" s="8" t="s">
        <v>23</v>
      </c>
      <c r="Q471" s="10">
        <v>21.46</v>
      </c>
      <c r="R471" s="10">
        <f xml:space="preserve"> Table1_2[[#This Row],[Yield (Kg/Ha)]]/Table1_2[[#This Row],[Area (Hectares)]]</f>
        <v>195.46637377492397</v>
      </c>
      <c r="S471" s="10">
        <f>Table1_2[[#This Row],[Yield per Acre]]/Table1_2[[#This Row],[Yield (Kg/Ha)]]</f>
        <v>3.3795201081446437E-2</v>
      </c>
      <c r="T471" s="11">
        <f>Table1_2[[#This Row],[Yield per Acre]]/N471</f>
        <v>0.8900208258579545</v>
      </c>
    </row>
    <row r="472" spans="1:20" x14ac:dyDescent="0.3">
      <c r="A472" s="8" t="s">
        <v>537</v>
      </c>
      <c r="B472" s="9">
        <v>2019</v>
      </c>
      <c r="C472" s="9" t="str">
        <f>TEXT(B472,"YYYY-MM")</f>
        <v>1905-07</v>
      </c>
      <c r="D472" s="10">
        <v>2019</v>
      </c>
      <c r="E472" s="8" t="s">
        <v>44</v>
      </c>
      <c r="F472" s="8" t="s">
        <v>99</v>
      </c>
      <c r="G472" s="8" t="s">
        <v>19</v>
      </c>
      <c r="H472" s="8" t="s">
        <v>20</v>
      </c>
      <c r="I472" s="10">
        <v>34.159999999999997</v>
      </c>
      <c r="J472" s="10">
        <v>88.9</v>
      </c>
      <c r="K472" s="10">
        <v>2602.5300000000002</v>
      </c>
      <c r="L472" s="8" t="s">
        <v>21</v>
      </c>
      <c r="M472" s="8" t="s">
        <v>41</v>
      </c>
      <c r="N472" s="10">
        <v>113.84</v>
      </c>
      <c r="O472" s="10">
        <v>784.18</v>
      </c>
      <c r="P472" s="8" t="s">
        <v>52</v>
      </c>
      <c r="Q472" s="10">
        <v>31.6</v>
      </c>
      <c r="R472" s="10">
        <f xml:space="preserve"> Table1_2[[#This Row],[Yield (Kg/Ha)]]/Table1_2[[#This Row],[Area (Hectares)]]</f>
        <v>76.186475409836078</v>
      </c>
      <c r="S472" s="10">
        <f>Table1_2[[#This Row],[Yield per Acre]]/Table1_2[[#This Row],[Yield (Kg/Ha)]]</f>
        <v>2.9274004683840751E-2</v>
      </c>
      <c r="T472" s="11">
        <f>Table1_2[[#This Row],[Yield per Acre]]/N472</f>
        <v>0.66924170247572101</v>
      </c>
    </row>
    <row r="473" spans="1:20" x14ac:dyDescent="0.3">
      <c r="A473" s="8" t="s">
        <v>538</v>
      </c>
      <c r="B473" s="9">
        <v>2019</v>
      </c>
      <c r="C473" s="9" t="str">
        <f>TEXT(B473,"YYYY-MM")</f>
        <v>1905-07</v>
      </c>
      <c r="D473" s="10">
        <v>2019</v>
      </c>
      <c r="E473" s="8" t="s">
        <v>17</v>
      </c>
      <c r="F473" s="8" t="s">
        <v>54</v>
      </c>
      <c r="G473" s="8" t="s">
        <v>33</v>
      </c>
      <c r="H473" s="8" t="s">
        <v>27</v>
      </c>
      <c r="I473" s="10">
        <v>34.4</v>
      </c>
      <c r="J473" s="10">
        <v>176.87</v>
      </c>
      <c r="K473" s="10">
        <v>5141.67</v>
      </c>
      <c r="L473" s="8" t="s">
        <v>40</v>
      </c>
      <c r="M473" s="8" t="s">
        <v>29</v>
      </c>
      <c r="N473" s="10">
        <v>128.32</v>
      </c>
      <c r="O473" s="10">
        <v>210.58</v>
      </c>
      <c r="P473" s="8" t="s">
        <v>23</v>
      </c>
      <c r="Q473" s="10">
        <v>32.479999999999997</v>
      </c>
      <c r="R473" s="10">
        <f xml:space="preserve"> Table1_2[[#This Row],[Yield (Kg/Ha)]]/Table1_2[[#This Row],[Area (Hectares)]]</f>
        <v>149.46715116279071</v>
      </c>
      <c r="S473" s="10">
        <f>Table1_2[[#This Row],[Yield per Acre]]/Table1_2[[#This Row],[Yield (Kg/Ha)]]</f>
        <v>2.9069767441860468E-2</v>
      </c>
      <c r="T473" s="11">
        <f>Table1_2[[#This Row],[Yield per Acre]]/N473</f>
        <v>1.1648001181638927</v>
      </c>
    </row>
    <row r="474" spans="1:20" x14ac:dyDescent="0.3">
      <c r="A474" s="8" t="s">
        <v>539</v>
      </c>
      <c r="B474" s="9">
        <v>2011</v>
      </c>
      <c r="C474" s="9" t="str">
        <f>TEXT(B474,"YYYY-MM")</f>
        <v>1905-07</v>
      </c>
      <c r="D474" s="10">
        <v>2011</v>
      </c>
      <c r="E474" s="8" t="s">
        <v>25</v>
      </c>
      <c r="F474" s="8" t="s">
        <v>69</v>
      </c>
      <c r="G474" s="8" t="s">
        <v>19</v>
      </c>
      <c r="H474" s="8" t="s">
        <v>46</v>
      </c>
      <c r="I474" s="10">
        <v>35.799999999999997</v>
      </c>
      <c r="J474" s="10">
        <v>191.58</v>
      </c>
      <c r="K474" s="10">
        <v>5351.5</v>
      </c>
      <c r="L474" s="8" t="s">
        <v>34</v>
      </c>
      <c r="M474" s="8" t="s">
        <v>41</v>
      </c>
      <c r="N474" s="10">
        <v>98.27</v>
      </c>
      <c r="O474" s="10">
        <v>223.7</v>
      </c>
      <c r="P474" s="8" t="s">
        <v>23</v>
      </c>
      <c r="Q474" s="10">
        <v>20.85</v>
      </c>
      <c r="R474" s="10">
        <f xml:space="preserve"> Table1_2[[#This Row],[Yield (Kg/Ha)]]/Table1_2[[#This Row],[Area (Hectares)]]</f>
        <v>149.4832402234637</v>
      </c>
      <c r="S474" s="10">
        <f>Table1_2[[#This Row],[Yield per Acre]]/Table1_2[[#This Row],[Yield (Kg/Ha)]]</f>
        <v>2.793296089385475E-2</v>
      </c>
      <c r="T474" s="11">
        <f>Table1_2[[#This Row],[Yield per Acre]]/N474</f>
        <v>1.521148267258204</v>
      </c>
    </row>
    <row r="475" spans="1:20" x14ac:dyDescent="0.3">
      <c r="A475" s="8" t="s">
        <v>540</v>
      </c>
      <c r="B475" s="9">
        <v>2011</v>
      </c>
      <c r="C475" s="9" t="str">
        <f>TEXT(B475,"YYYY-MM")</f>
        <v>1905-07</v>
      </c>
      <c r="D475" s="10">
        <v>2011</v>
      </c>
      <c r="E475" s="8" t="s">
        <v>59</v>
      </c>
      <c r="F475" s="8" t="s">
        <v>93</v>
      </c>
      <c r="G475" s="8" t="s">
        <v>19</v>
      </c>
      <c r="H475" s="8" t="s">
        <v>64</v>
      </c>
      <c r="I475" s="10">
        <v>9.5500000000000007</v>
      </c>
      <c r="J475" s="10">
        <v>44.2</v>
      </c>
      <c r="K475" s="10">
        <v>4628.1099999999997</v>
      </c>
      <c r="L475" s="8" t="s">
        <v>28</v>
      </c>
      <c r="M475" s="8" t="s">
        <v>22</v>
      </c>
      <c r="N475" s="10">
        <v>214.1</v>
      </c>
      <c r="O475" s="10">
        <v>1099.9000000000001</v>
      </c>
      <c r="P475" s="8" t="s">
        <v>61</v>
      </c>
      <c r="Q475" s="10">
        <v>32.049999999999997</v>
      </c>
      <c r="R475" s="10">
        <f xml:space="preserve"> Table1_2[[#This Row],[Yield (Kg/Ha)]]/Table1_2[[#This Row],[Area (Hectares)]]</f>
        <v>484.61884816753917</v>
      </c>
      <c r="S475" s="10">
        <f>Table1_2[[#This Row],[Yield per Acre]]/Table1_2[[#This Row],[Yield (Kg/Ha)]]</f>
        <v>0.10471204188481674</v>
      </c>
      <c r="T475" s="11">
        <f>Table1_2[[#This Row],[Yield per Acre]]/N475</f>
        <v>2.2635163389422663</v>
      </c>
    </row>
    <row r="476" spans="1:20" x14ac:dyDescent="0.3">
      <c r="A476" s="8" t="s">
        <v>541</v>
      </c>
      <c r="B476" s="9">
        <v>2015</v>
      </c>
      <c r="C476" s="9" t="str">
        <f>TEXT(B476,"YYYY-MM")</f>
        <v>1905-07</v>
      </c>
      <c r="D476" s="10">
        <v>2014</v>
      </c>
      <c r="E476" s="8" t="s">
        <v>17</v>
      </c>
      <c r="F476" s="8" t="s">
        <v>18</v>
      </c>
      <c r="G476" s="8" t="s">
        <v>38</v>
      </c>
      <c r="H476" s="8" t="s">
        <v>46</v>
      </c>
      <c r="I476" s="10">
        <v>66.39</v>
      </c>
      <c r="J476" s="10">
        <v>96.55</v>
      </c>
      <c r="K476" s="10">
        <v>1454.29</v>
      </c>
      <c r="L476" s="8" t="s">
        <v>28</v>
      </c>
      <c r="M476" s="8" t="s">
        <v>49</v>
      </c>
      <c r="N476" s="10">
        <v>280.67</v>
      </c>
      <c r="O476" s="10">
        <v>476.38</v>
      </c>
      <c r="P476" s="8" t="s">
        <v>52</v>
      </c>
      <c r="Q476" s="10">
        <v>30.38</v>
      </c>
      <c r="R476" s="10">
        <f xml:space="preserve"> Table1_2[[#This Row],[Yield (Kg/Ha)]]/Table1_2[[#This Row],[Area (Hectares)]]</f>
        <v>21.90525681578551</v>
      </c>
      <c r="S476" s="10">
        <f>Table1_2[[#This Row],[Yield per Acre]]/Table1_2[[#This Row],[Yield (Kg/Ha)]]</f>
        <v>1.5062509414068384E-2</v>
      </c>
      <c r="T476" s="11">
        <f>Table1_2[[#This Row],[Yield per Acre]]/N476</f>
        <v>7.8046306394646769E-2</v>
      </c>
    </row>
    <row r="477" spans="1:20" x14ac:dyDescent="0.3">
      <c r="A477" s="8" t="s">
        <v>542</v>
      </c>
      <c r="B477" s="9">
        <v>2014</v>
      </c>
      <c r="C477" s="9" t="str">
        <f>TEXT(B477,"YYYY-MM")</f>
        <v>1905-07</v>
      </c>
      <c r="D477" s="10">
        <v>2014</v>
      </c>
      <c r="E477" s="8" t="s">
        <v>103</v>
      </c>
      <c r="F477" s="8" t="s">
        <v>104</v>
      </c>
      <c r="G477" s="8" t="s">
        <v>33</v>
      </c>
      <c r="H477" s="8" t="s">
        <v>46</v>
      </c>
      <c r="I477" s="10">
        <v>39.47</v>
      </c>
      <c r="J477" s="10">
        <v>275.33</v>
      </c>
      <c r="K477" s="10">
        <v>6975.75</v>
      </c>
      <c r="L477" s="8" t="s">
        <v>34</v>
      </c>
      <c r="M477" s="8" t="s">
        <v>47</v>
      </c>
      <c r="N477" s="10">
        <v>288.89999999999998</v>
      </c>
      <c r="O477" s="10">
        <v>464.66</v>
      </c>
      <c r="P477" s="8" t="s">
        <v>52</v>
      </c>
      <c r="Q477" s="10">
        <v>21.04</v>
      </c>
      <c r="R477" s="10">
        <f xml:space="preserve"> Table1_2[[#This Row],[Yield (Kg/Ha)]]/Table1_2[[#This Row],[Area (Hectares)]]</f>
        <v>176.73549531289586</v>
      </c>
      <c r="S477" s="10">
        <f>Table1_2[[#This Row],[Yield per Acre]]/Table1_2[[#This Row],[Yield (Kg/Ha)]]</f>
        <v>2.5335697998479859E-2</v>
      </c>
      <c r="T477" s="11">
        <f>Table1_2[[#This Row],[Yield per Acre]]/N477</f>
        <v>0.61175318557596359</v>
      </c>
    </row>
    <row r="478" spans="1:20" x14ac:dyDescent="0.3">
      <c r="A478" s="8" t="s">
        <v>543</v>
      </c>
      <c r="B478" s="9">
        <v>2020</v>
      </c>
      <c r="C478" s="9" t="str">
        <f>TEXT(B478,"YYYY-MM")</f>
        <v>1905-07</v>
      </c>
      <c r="D478" s="10">
        <v>2020</v>
      </c>
      <c r="E478" s="8" t="s">
        <v>36</v>
      </c>
      <c r="F478" s="8" t="s">
        <v>37</v>
      </c>
      <c r="G478" s="8" t="s">
        <v>38</v>
      </c>
      <c r="H478" s="8" t="s">
        <v>64</v>
      </c>
      <c r="I478" s="10">
        <v>15.24</v>
      </c>
      <c r="J478" s="10">
        <v>85.53</v>
      </c>
      <c r="K478" s="10">
        <v>5612.24</v>
      </c>
      <c r="L478" s="8" t="s">
        <v>40</v>
      </c>
      <c r="M478" s="8" t="s">
        <v>22</v>
      </c>
      <c r="N478" s="10">
        <v>203.49</v>
      </c>
      <c r="O478" s="10">
        <v>306.25</v>
      </c>
      <c r="P478" s="8" t="s">
        <v>52</v>
      </c>
      <c r="Q478" s="10">
        <v>30.73</v>
      </c>
      <c r="R478" s="10">
        <f xml:space="preserve"> Table1_2[[#This Row],[Yield (Kg/Ha)]]/Table1_2[[#This Row],[Area (Hectares)]]</f>
        <v>368.25721784776903</v>
      </c>
      <c r="S478" s="10">
        <f>Table1_2[[#This Row],[Yield per Acre]]/Table1_2[[#This Row],[Yield (Kg/Ha)]]</f>
        <v>6.5616797900262466E-2</v>
      </c>
      <c r="T478" s="11">
        <f>Table1_2[[#This Row],[Yield per Acre]]/N478</f>
        <v>1.8097067071982358</v>
      </c>
    </row>
    <row r="479" spans="1:20" x14ac:dyDescent="0.3">
      <c r="A479" s="8" t="s">
        <v>544</v>
      </c>
      <c r="B479" s="9">
        <v>2019</v>
      </c>
      <c r="C479" s="9" t="str">
        <f>TEXT(B479,"YYYY-MM")</f>
        <v>1905-07</v>
      </c>
      <c r="D479" s="10">
        <v>2019</v>
      </c>
      <c r="E479" s="8" t="s">
        <v>25</v>
      </c>
      <c r="F479" s="8" t="s">
        <v>26</v>
      </c>
      <c r="G479" s="8" t="s">
        <v>19</v>
      </c>
      <c r="H479" s="8" t="s">
        <v>20</v>
      </c>
      <c r="I479" s="10">
        <v>77.95</v>
      </c>
      <c r="J479" s="10">
        <v>86.73</v>
      </c>
      <c r="K479" s="10">
        <v>1112.5899999999999</v>
      </c>
      <c r="L479" s="8" t="s">
        <v>28</v>
      </c>
      <c r="M479" s="8" t="s">
        <v>41</v>
      </c>
      <c r="N479" s="10">
        <v>87.21</v>
      </c>
      <c r="O479" s="10">
        <v>840.34</v>
      </c>
      <c r="P479" s="8" t="s">
        <v>23</v>
      </c>
      <c r="Q479" s="10">
        <v>29.97</v>
      </c>
      <c r="R479" s="10">
        <f xml:space="preserve"> Table1_2[[#This Row],[Yield (Kg/Ha)]]/Table1_2[[#This Row],[Area (Hectares)]]</f>
        <v>14.273123797305963</v>
      </c>
      <c r="S479" s="10">
        <f>Table1_2[[#This Row],[Yield per Acre]]/Table1_2[[#This Row],[Yield (Kg/Ha)]]</f>
        <v>1.2828736369467606E-2</v>
      </c>
      <c r="T479" s="11">
        <f>Table1_2[[#This Row],[Yield per Acre]]/N479</f>
        <v>0.16366384356502653</v>
      </c>
    </row>
    <row r="480" spans="1:20" x14ac:dyDescent="0.3">
      <c r="A480" s="8" t="s">
        <v>545</v>
      </c>
      <c r="B480" s="9">
        <v>2016</v>
      </c>
      <c r="C480" s="9" t="str">
        <f>TEXT(B480,"YYYY-MM")</f>
        <v>1905-07</v>
      </c>
      <c r="D480" s="10">
        <v>2016</v>
      </c>
      <c r="E480" s="8" t="s">
        <v>17</v>
      </c>
      <c r="F480" s="8" t="s">
        <v>72</v>
      </c>
      <c r="G480" s="8" t="s">
        <v>19</v>
      </c>
      <c r="H480" s="8" t="s">
        <v>64</v>
      </c>
      <c r="I480" s="10">
        <v>52.02</v>
      </c>
      <c r="J480" s="10">
        <v>345.39</v>
      </c>
      <c r="K480" s="10">
        <v>6639.47</v>
      </c>
      <c r="L480" s="8" t="s">
        <v>28</v>
      </c>
      <c r="M480" s="8" t="s">
        <v>29</v>
      </c>
      <c r="N480" s="10">
        <v>169.53</v>
      </c>
      <c r="O480" s="10">
        <v>603.91</v>
      </c>
      <c r="P480" s="8" t="s">
        <v>23</v>
      </c>
      <c r="Q480" s="10">
        <v>28.1</v>
      </c>
      <c r="R480" s="10">
        <f xml:space="preserve"> Table1_2[[#This Row],[Yield (Kg/Ha)]]/Table1_2[[#This Row],[Area (Hectares)]]</f>
        <v>127.63302575932333</v>
      </c>
      <c r="S480" s="10">
        <f>Table1_2[[#This Row],[Yield per Acre]]/Table1_2[[#This Row],[Yield (Kg/Ha)]]</f>
        <v>1.9223375624759707E-2</v>
      </c>
      <c r="T480" s="11">
        <f>Table1_2[[#This Row],[Yield per Acre]]/N480</f>
        <v>0.75286395186293475</v>
      </c>
    </row>
    <row r="481" spans="1:20" x14ac:dyDescent="0.3">
      <c r="A481" s="8" t="s">
        <v>546</v>
      </c>
      <c r="B481" s="9">
        <v>2011</v>
      </c>
      <c r="C481" s="9" t="str">
        <f>TEXT(B481,"YYYY-MM")</f>
        <v>1905-07</v>
      </c>
      <c r="D481" s="10">
        <v>2011</v>
      </c>
      <c r="E481" s="8" t="s">
        <v>17</v>
      </c>
      <c r="F481" s="8" t="s">
        <v>72</v>
      </c>
      <c r="G481" s="8" t="s">
        <v>19</v>
      </c>
      <c r="H481" s="8" t="s">
        <v>27</v>
      </c>
      <c r="I481" s="10">
        <v>93.57</v>
      </c>
      <c r="J481" s="10">
        <v>295.07</v>
      </c>
      <c r="K481" s="10">
        <v>3153.51</v>
      </c>
      <c r="L481" s="8" t="s">
        <v>34</v>
      </c>
      <c r="M481" s="8" t="s">
        <v>49</v>
      </c>
      <c r="N481" s="10">
        <v>150.15</v>
      </c>
      <c r="O481" s="10">
        <v>832.27</v>
      </c>
      <c r="P481" s="8" t="s">
        <v>23</v>
      </c>
      <c r="Q481" s="10">
        <v>25.48</v>
      </c>
      <c r="R481" s="10">
        <f xml:space="preserve"> Table1_2[[#This Row],[Yield (Kg/Ha)]]/Table1_2[[#This Row],[Area (Hectares)]]</f>
        <v>33.702148124398853</v>
      </c>
      <c r="S481" s="10">
        <f>Table1_2[[#This Row],[Yield per Acre]]/Table1_2[[#This Row],[Yield (Kg/Ha)]]</f>
        <v>1.0687186063909374E-2</v>
      </c>
      <c r="T481" s="11">
        <f>Table1_2[[#This Row],[Yield per Acre]]/N481</f>
        <v>0.22445653096502732</v>
      </c>
    </row>
    <row r="482" spans="1:20" x14ac:dyDescent="0.3">
      <c r="A482" s="8" t="s">
        <v>547</v>
      </c>
      <c r="B482" s="9">
        <v>2023</v>
      </c>
      <c r="C482" s="9" t="str">
        <f>TEXT(B482,"YYYY-MM")</f>
        <v>1905-07</v>
      </c>
      <c r="D482" s="10">
        <v>2022</v>
      </c>
      <c r="E482" s="8" t="s">
        <v>25</v>
      </c>
      <c r="F482" s="8" t="s">
        <v>87</v>
      </c>
      <c r="G482" s="8" t="s">
        <v>38</v>
      </c>
      <c r="H482" s="8" t="s">
        <v>39</v>
      </c>
      <c r="I482" s="10">
        <v>21.11</v>
      </c>
      <c r="J482" s="10">
        <v>91.34</v>
      </c>
      <c r="K482" s="10">
        <v>4326.8500000000004</v>
      </c>
      <c r="L482" s="8" t="s">
        <v>28</v>
      </c>
      <c r="M482" s="8" t="s">
        <v>29</v>
      </c>
      <c r="N482" s="10">
        <v>215.18</v>
      </c>
      <c r="O482" s="10">
        <v>498.87</v>
      </c>
      <c r="P482" s="8" t="s">
        <v>52</v>
      </c>
      <c r="Q482" s="10">
        <v>33.450000000000003</v>
      </c>
      <c r="R482" s="10">
        <f xml:space="preserve"> Table1_2[[#This Row],[Yield (Kg/Ha)]]/Table1_2[[#This Row],[Area (Hectares)]]</f>
        <v>204.96684036001898</v>
      </c>
      <c r="S482" s="10">
        <f>Table1_2[[#This Row],[Yield per Acre]]/Table1_2[[#This Row],[Yield (Kg/Ha)]]</f>
        <v>4.7370914258645196E-2</v>
      </c>
      <c r="T482" s="11">
        <f>Table1_2[[#This Row],[Yield per Acre]]/N482</f>
        <v>0.95253666864959086</v>
      </c>
    </row>
    <row r="483" spans="1:20" x14ac:dyDescent="0.3">
      <c r="A483" s="8" t="s">
        <v>548</v>
      </c>
      <c r="B483" s="9">
        <v>2017</v>
      </c>
      <c r="C483" s="9" t="str">
        <f>TEXT(B483,"YYYY-MM")</f>
        <v>1905-07</v>
      </c>
      <c r="D483" s="10">
        <v>2017</v>
      </c>
      <c r="E483" s="8" t="s">
        <v>25</v>
      </c>
      <c r="F483" s="8" t="s">
        <v>69</v>
      </c>
      <c r="G483" s="8" t="s">
        <v>19</v>
      </c>
      <c r="H483" s="8" t="s">
        <v>56</v>
      </c>
      <c r="I483" s="10">
        <v>14.85</v>
      </c>
      <c r="J483" s="10">
        <v>32.049999999999997</v>
      </c>
      <c r="K483" s="10">
        <v>2158.56</v>
      </c>
      <c r="L483" s="8" t="s">
        <v>40</v>
      </c>
      <c r="M483" s="8" t="s">
        <v>47</v>
      </c>
      <c r="N483" s="10">
        <v>172.31</v>
      </c>
      <c r="O483" s="10">
        <v>262.99</v>
      </c>
      <c r="P483" s="8" t="s">
        <v>61</v>
      </c>
      <c r="Q483" s="10">
        <v>29.65</v>
      </c>
      <c r="R483" s="10">
        <f xml:space="preserve"> Table1_2[[#This Row],[Yield (Kg/Ha)]]/Table1_2[[#This Row],[Area (Hectares)]]</f>
        <v>145.35757575757575</v>
      </c>
      <c r="S483" s="10">
        <f>Table1_2[[#This Row],[Yield per Acre]]/Table1_2[[#This Row],[Yield (Kg/Ha)]]</f>
        <v>6.7340067340067339E-2</v>
      </c>
      <c r="T483" s="11">
        <f>Table1_2[[#This Row],[Yield per Acre]]/N483</f>
        <v>0.84358177562286429</v>
      </c>
    </row>
    <row r="484" spans="1:20" x14ac:dyDescent="0.3">
      <c r="A484" s="8" t="s">
        <v>549</v>
      </c>
      <c r="B484" s="9">
        <v>2010</v>
      </c>
      <c r="C484" s="9" t="str">
        <f>TEXT(B484,"YYYY-MM")</f>
        <v>1905-07</v>
      </c>
      <c r="D484" s="10">
        <v>2010</v>
      </c>
      <c r="E484" s="8" t="s">
        <v>44</v>
      </c>
      <c r="F484" s="8" t="s">
        <v>99</v>
      </c>
      <c r="G484" s="8" t="s">
        <v>33</v>
      </c>
      <c r="H484" s="8" t="s">
        <v>20</v>
      </c>
      <c r="I484" s="10">
        <v>6.55</v>
      </c>
      <c r="J484" s="10">
        <v>37.51</v>
      </c>
      <c r="K484" s="10">
        <v>5726.67</v>
      </c>
      <c r="L484" s="8" t="s">
        <v>21</v>
      </c>
      <c r="M484" s="8" t="s">
        <v>41</v>
      </c>
      <c r="N484" s="10">
        <v>151.38</v>
      </c>
      <c r="O484" s="10">
        <v>411.68</v>
      </c>
      <c r="P484" s="8" t="s">
        <v>61</v>
      </c>
      <c r="Q484" s="10">
        <v>26.88</v>
      </c>
      <c r="R484" s="10">
        <f xml:space="preserve"> Table1_2[[#This Row],[Yield (Kg/Ha)]]/Table1_2[[#This Row],[Area (Hectares)]]</f>
        <v>874.30076335877868</v>
      </c>
      <c r="S484" s="10">
        <f>Table1_2[[#This Row],[Yield per Acre]]/Table1_2[[#This Row],[Yield (Kg/Ha)]]</f>
        <v>0.15267175572519084</v>
      </c>
      <c r="T484" s="11">
        <f>Table1_2[[#This Row],[Yield per Acre]]/N484</f>
        <v>5.7755368170087111</v>
      </c>
    </row>
    <row r="485" spans="1:20" x14ac:dyDescent="0.3">
      <c r="A485" s="8" t="s">
        <v>550</v>
      </c>
      <c r="B485" s="9">
        <v>2013</v>
      </c>
      <c r="C485" s="9" t="str">
        <f>TEXT(B485,"YYYY-MM")</f>
        <v>1905-07</v>
      </c>
      <c r="D485" s="10">
        <v>2013</v>
      </c>
      <c r="E485" s="8" t="s">
        <v>17</v>
      </c>
      <c r="F485" s="8" t="s">
        <v>54</v>
      </c>
      <c r="G485" s="8" t="s">
        <v>33</v>
      </c>
      <c r="H485" s="8" t="s">
        <v>64</v>
      </c>
      <c r="I485" s="10">
        <v>73.81</v>
      </c>
      <c r="J485" s="10">
        <v>290.32</v>
      </c>
      <c r="K485" s="10">
        <v>3933.37</v>
      </c>
      <c r="L485" s="8" t="s">
        <v>21</v>
      </c>
      <c r="M485" s="8" t="s">
        <v>22</v>
      </c>
      <c r="N485" s="10">
        <v>167.8</v>
      </c>
      <c r="O485" s="10">
        <v>1118.02</v>
      </c>
      <c r="P485" s="8" t="s">
        <v>23</v>
      </c>
      <c r="Q485" s="10">
        <v>23.64</v>
      </c>
      <c r="R485" s="10">
        <f xml:space="preserve"> Table1_2[[#This Row],[Yield (Kg/Ha)]]/Table1_2[[#This Row],[Area (Hectares)]]</f>
        <v>53.290475545319062</v>
      </c>
      <c r="S485" s="10">
        <f>Table1_2[[#This Row],[Yield per Acre]]/Table1_2[[#This Row],[Yield (Kg/Ha)]]</f>
        <v>1.3548299688389108E-2</v>
      </c>
      <c r="T485" s="11">
        <f>Table1_2[[#This Row],[Yield per Acre]]/N485</f>
        <v>0.31758328692085253</v>
      </c>
    </row>
    <row r="486" spans="1:20" x14ac:dyDescent="0.3">
      <c r="A486" s="8" t="s">
        <v>551</v>
      </c>
      <c r="B486" s="9">
        <v>2010</v>
      </c>
      <c r="C486" s="9" t="str">
        <f>TEXT(B486,"YYYY-MM")</f>
        <v>1905-07</v>
      </c>
      <c r="D486" s="10">
        <v>2010</v>
      </c>
      <c r="E486" s="8" t="s">
        <v>103</v>
      </c>
      <c r="F486" s="8" t="s">
        <v>228</v>
      </c>
      <c r="G486" s="8" t="s">
        <v>38</v>
      </c>
      <c r="H486" s="8" t="s">
        <v>64</v>
      </c>
      <c r="I486" s="10">
        <v>46.16</v>
      </c>
      <c r="J486" s="10">
        <v>93.43</v>
      </c>
      <c r="K486" s="10">
        <v>2024.14</v>
      </c>
      <c r="L486" s="8" t="s">
        <v>21</v>
      </c>
      <c r="M486" s="8" t="s">
        <v>22</v>
      </c>
      <c r="N486" s="10">
        <v>254.45</v>
      </c>
      <c r="O486" s="10">
        <v>306.33</v>
      </c>
      <c r="P486" s="8" t="s">
        <v>52</v>
      </c>
      <c r="Q486" s="10">
        <v>28.92</v>
      </c>
      <c r="R486" s="10">
        <f xml:space="preserve"> Table1_2[[#This Row],[Yield (Kg/Ha)]]/Table1_2[[#This Row],[Area (Hectares)]]</f>
        <v>43.850519930675915</v>
      </c>
      <c r="S486" s="10">
        <f>Table1_2[[#This Row],[Yield per Acre]]/Table1_2[[#This Row],[Yield (Kg/Ha)]]</f>
        <v>2.1663778162911613E-2</v>
      </c>
      <c r="T486" s="11">
        <f>Table1_2[[#This Row],[Yield per Acre]]/N486</f>
        <v>0.17233452517459585</v>
      </c>
    </row>
    <row r="487" spans="1:20" x14ac:dyDescent="0.3">
      <c r="A487" s="8" t="s">
        <v>552</v>
      </c>
      <c r="B487" s="9">
        <v>2016</v>
      </c>
      <c r="C487" s="9" t="str">
        <f>TEXT(B487,"YYYY-MM")</f>
        <v>1905-07</v>
      </c>
      <c r="D487" s="10">
        <v>2016</v>
      </c>
      <c r="E487" s="8" t="s">
        <v>44</v>
      </c>
      <c r="F487" s="8" t="s">
        <v>45</v>
      </c>
      <c r="G487" s="8" t="s">
        <v>38</v>
      </c>
      <c r="H487" s="8" t="s">
        <v>39</v>
      </c>
      <c r="I487" s="10">
        <v>68.16</v>
      </c>
      <c r="J487" s="10">
        <v>200.76</v>
      </c>
      <c r="K487" s="10">
        <v>2945.41</v>
      </c>
      <c r="L487" s="8" t="s">
        <v>40</v>
      </c>
      <c r="M487" s="8" t="s">
        <v>49</v>
      </c>
      <c r="N487" s="10">
        <v>130.4</v>
      </c>
      <c r="O487" s="10">
        <v>1164.69</v>
      </c>
      <c r="P487" s="8" t="s">
        <v>42</v>
      </c>
      <c r="Q487" s="10">
        <v>31.46</v>
      </c>
      <c r="R487" s="10">
        <f xml:space="preserve"> Table1_2[[#This Row],[Yield (Kg/Ha)]]/Table1_2[[#This Row],[Area (Hectares)]]</f>
        <v>43.213174882629112</v>
      </c>
      <c r="S487" s="10">
        <f>Table1_2[[#This Row],[Yield per Acre]]/Table1_2[[#This Row],[Yield (Kg/Ha)]]</f>
        <v>1.467136150234742E-2</v>
      </c>
      <c r="T487" s="11">
        <f>Table1_2[[#This Row],[Yield per Acre]]/N487</f>
        <v>0.33138937793427231</v>
      </c>
    </row>
    <row r="488" spans="1:20" x14ac:dyDescent="0.3">
      <c r="A488" s="8" t="s">
        <v>553</v>
      </c>
      <c r="B488" s="9">
        <v>2014</v>
      </c>
      <c r="C488" s="9" t="str">
        <f>TEXT(B488,"YYYY-MM")</f>
        <v>1905-07</v>
      </c>
      <c r="D488" s="10">
        <v>2014</v>
      </c>
      <c r="E488" s="8" t="s">
        <v>25</v>
      </c>
      <c r="F488" s="8" t="s">
        <v>26</v>
      </c>
      <c r="G488" s="8" t="s">
        <v>33</v>
      </c>
      <c r="H488" s="8" t="s">
        <v>46</v>
      </c>
      <c r="I488" s="10">
        <v>17.64</v>
      </c>
      <c r="J488" s="10">
        <v>56.79</v>
      </c>
      <c r="K488" s="10">
        <v>3219.56</v>
      </c>
      <c r="L488" s="8" t="s">
        <v>40</v>
      </c>
      <c r="M488" s="8" t="s">
        <v>41</v>
      </c>
      <c r="N488" s="10">
        <v>159.66999999999999</v>
      </c>
      <c r="O488" s="10">
        <v>1125.68</v>
      </c>
      <c r="P488" s="8" t="s">
        <v>23</v>
      </c>
      <c r="Q488" s="10">
        <v>22</v>
      </c>
      <c r="R488" s="10">
        <f xml:space="preserve"> Table1_2[[#This Row],[Yield (Kg/Ha)]]/Table1_2[[#This Row],[Area (Hectares)]]</f>
        <v>182.51473922902494</v>
      </c>
      <c r="S488" s="10">
        <f>Table1_2[[#This Row],[Yield per Acre]]/Table1_2[[#This Row],[Yield (Kg/Ha)]]</f>
        <v>5.6689342403628121E-2</v>
      </c>
      <c r="T488" s="11">
        <f>Table1_2[[#This Row],[Yield per Acre]]/N488</f>
        <v>1.1430747117744406</v>
      </c>
    </row>
    <row r="489" spans="1:20" x14ac:dyDescent="0.3">
      <c r="A489" s="8" t="s">
        <v>554</v>
      </c>
      <c r="B489" s="9">
        <v>2011</v>
      </c>
      <c r="C489" s="9" t="str">
        <f>TEXT(B489,"YYYY-MM")</f>
        <v>1905-07</v>
      </c>
      <c r="D489" s="10">
        <v>2011</v>
      </c>
      <c r="E489" s="8" t="s">
        <v>25</v>
      </c>
      <c r="F489" s="8" t="s">
        <v>87</v>
      </c>
      <c r="G489" s="8" t="s">
        <v>33</v>
      </c>
      <c r="H489" s="8" t="s">
        <v>64</v>
      </c>
      <c r="I489" s="10">
        <v>18.760000000000002</v>
      </c>
      <c r="J489" s="10">
        <v>28.79</v>
      </c>
      <c r="K489" s="10">
        <v>1534.85</v>
      </c>
      <c r="L489" s="8" t="s">
        <v>34</v>
      </c>
      <c r="M489" s="8" t="s">
        <v>41</v>
      </c>
      <c r="N489" s="10">
        <v>154.06</v>
      </c>
      <c r="O489" s="10">
        <v>1007.41</v>
      </c>
      <c r="P489" s="8" t="s">
        <v>52</v>
      </c>
      <c r="Q489" s="10">
        <v>30.39</v>
      </c>
      <c r="R489" s="10">
        <f xml:space="preserve"> Table1_2[[#This Row],[Yield (Kg/Ha)]]/Table1_2[[#This Row],[Area (Hectares)]]</f>
        <v>81.815031982942415</v>
      </c>
      <c r="S489" s="10">
        <f>Table1_2[[#This Row],[Yield per Acre]]/Table1_2[[#This Row],[Yield (Kg/Ha)]]</f>
        <v>5.3304904051172698E-2</v>
      </c>
      <c r="T489" s="11">
        <f>Table1_2[[#This Row],[Yield per Acre]]/N489</f>
        <v>0.53105953513528759</v>
      </c>
    </row>
    <row r="490" spans="1:20" x14ac:dyDescent="0.3">
      <c r="A490" s="8" t="s">
        <v>555</v>
      </c>
      <c r="B490" s="9">
        <v>2019</v>
      </c>
      <c r="C490" s="9" t="str">
        <f>TEXT(B490,"YYYY-MM")</f>
        <v>1905-07</v>
      </c>
      <c r="D490" s="10">
        <v>2018</v>
      </c>
      <c r="E490" s="8" t="s">
        <v>17</v>
      </c>
      <c r="F490" s="8" t="s">
        <v>72</v>
      </c>
      <c r="G490" s="8" t="s">
        <v>38</v>
      </c>
      <c r="H490" s="8" t="s">
        <v>46</v>
      </c>
      <c r="I490" s="10">
        <v>24.69</v>
      </c>
      <c r="J490" s="10">
        <v>50.55</v>
      </c>
      <c r="K490" s="10">
        <v>2047.29</v>
      </c>
      <c r="L490" s="8" t="s">
        <v>21</v>
      </c>
      <c r="M490" s="8" t="s">
        <v>49</v>
      </c>
      <c r="N490" s="10">
        <v>199.07</v>
      </c>
      <c r="O490" s="10">
        <v>917.2</v>
      </c>
      <c r="P490" s="8" t="s">
        <v>61</v>
      </c>
      <c r="Q490" s="10">
        <v>34.25</v>
      </c>
      <c r="R490" s="10">
        <f xml:space="preserve"> Table1_2[[#This Row],[Yield (Kg/Ha)]]/Table1_2[[#This Row],[Area (Hectares)]]</f>
        <v>82.919805589307401</v>
      </c>
      <c r="S490" s="10">
        <f>Table1_2[[#This Row],[Yield per Acre]]/Table1_2[[#This Row],[Yield (Kg/Ha)]]</f>
        <v>4.0502227622519232E-2</v>
      </c>
      <c r="T490" s="11">
        <f>Table1_2[[#This Row],[Yield per Acre]]/N490</f>
        <v>0.41653591997441808</v>
      </c>
    </row>
    <row r="491" spans="1:20" x14ac:dyDescent="0.3">
      <c r="A491" s="8" t="s">
        <v>556</v>
      </c>
      <c r="B491" s="9">
        <v>2018</v>
      </c>
      <c r="C491" s="9" t="str">
        <f>TEXT(B491,"YYYY-MM")</f>
        <v>1905-07</v>
      </c>
      <c r="D491" s="10">
        <v>2018</v>
      </c>
      <c r="E491" s="8" t="s">
        <v>36</v>
      </c>
      <c r="F491" s="8" t="s">
        <v>37</v>
      </c>
      <c r="G491" s="8" t="s">
        <v>33</v>
      </c>
      <c r="H491" s="8" t="s">
        <v>56</v>
      </c>
      <c r="I491" s="10">
        <v>12.63</v>
      </c>
      <c r="J491" s="10">
        <v>52.81</v>
      </c>
      <c r="K491" s="10">
        <v>4181.1899999999996</v>
      </c>
      <c r="L491" s="8" t="s">
        <v>21</v>
      </c>
      <c r="M491" s="8" t="s">
        <v>41</v>
      </c>
      <c r="N491" s="10">
        <v>204.73</v>
      </c>
      <c r="O491" s="10">
        <v>1062.73</v>
      </c>
      <c r="P491" s="8" t="s">
        <v>61</v>
      </c>
      <c r="Q491" s="10">
        <v>27.61</v>
      </c>
      <c r="R491" s="10">
        <f xml:space="preserve"> Table1_2[[#This Row],[Yield (Kg/Ha)]]/Table1_2[[#This Row],[Area (Hectares)]]</f>
        <v>331.05225653206645</v>
      </c>
      <c r="S491" s="10">
        <f>Table1_2[[#This Row],[Yield per Acre]]/Table1_2[[#This Row],[Yield (Kg/Ha)]]</f>
        <v>7.9176563737133804E-2</v>
      </c>
      <c r="T491" s="11">
        <f>Table1_2[[#This Row],[Yield per Acre]]/N491</f>
        <v>1.6170187883166438</v>
      </c>
    </row>
    <row r="492" spans="1:20" x14ac:dyDescent="0.3">
      <c r="A492" s="8" t="s">
        <v>557</v>
      </c>
      <c r="B492" s="9">
        <v>2013</v>
      </c>
      <c r="C492" s="9" t="str">
        <f>TEXT(B492,"YYYY-MM")</f>
        <v>1905-07</v>
      </c>
      <c r="D492" s="10">
        <v>2013</v>
      </c>
      <c r="E492" s="8" t="s">
        <v>31</v>
      </c>
      <c r="F492" s="8" t="s">
        <v>82</v>
      </c>
      <c r="G492" s="8" t="s">
        <v>33</v>
      </c>
      <c r="H492" s="8" t="s">
        <v>56</v>
      </c>
      <c r="I492" s="10">
        <v>68.84</v>
      </c>
      <c r="J492" s="10">
        <v>468.9</v>
      </c>
      <c r="K492" s="10">
        <v>6811.44</v>
      </c>
      <c r="L492" s="8" t="s">
        <v>28</v>
      </c>
      <c r="M492" s="8" t="s">
        <v>49</v>
      </c>
      <c r="N492" s="10">
        <v>174.38</v>
      </c>
      <c r="O492" s="10">
        <v>359.76</v>
      </c>
      <c r="P492" s="8" t="s">
        <v>23</v>
      </c>
      <c r="Q492" s="10">
        <v>20.81</v>
      </c>
      <c r="R492" s="10">
        <f xml:space="preserve"> Table1_2[[#This Row],[Yield (Kg/Ha)]]/Table1_2[[#This Row],[Area (Hectares)]]</f>
        <v>98.945961650203358</v>
      </c>
      <c r="S492" s="10">
        <f>Table1_2[[#This Row],[Yield per Acre]]/Table1_2[[#This Row],[Yield (Kg/Ha)]]</f>
        <v>1.4526438117373619E-2</v>
      </c>
      <c r="T492" s="11">
        <f>Table1_2[[#This Row],[Yield per Acre]]/N492</f>
        <v>0.56741576815118344</v>
      </c>
    </row>
    <row r="493" spans="1:20" x14ac:dyDescent="0.3">
      <c r="A493" s="8" t="s">
        <v>558</v>
      </c>
      <c r="B493" s="9">
        <v>2014</v>
      </c>
      <c r="C493" s="9" t="str">
        <f>TEXT(B493,"YYYY-MM")</f>
        <v>1905-07</v>
      </c>
      <c r="D493" s="10">
        <v>2014</v>
      </c>
      <c r="E493" s="8" t="s">
        <v>103</v>
      </c>
      <c r="F493" s="8" t="s">
        <v>107</v>
      </c>
      <c r="G493" s="8" t="s">
        <v>38</v>
      </c>
      <c r="H493" s="8" t="s">
        <v>27</v>
      </c>
      <c r="I493" s="10">
        <v>80.709999999999994</v>
      </c>
      <c r="J493" s="10">
        <v>447.98</v>
      </c>
      <c r="K493" s="10">
        <v>5550.45</v>
      </c>
      <c r="L493" s="8" t="s">
        <v>21</v>
      </c>
      <c r="M493" s="8" t="s">
        <v>29</v>
      </c>
      <c r="N493" s="10">
        <v>76.11</v>
      </c>
      <c r="O493" s="10">
        <v>252.46</v>
      </c>
      <c r="P493" s="8" t="s">
        <v>61</v>
      </c>
      <c r="Q493" s="10">
        <v>22.64</v>
      </c>
      <c r="R493" s="10">
        <f xml:space="preserve"> Table1_2[[#This Row],[Yield (Kg/Ha)]]/Table1_2[[#This Row],[Area (Hectares)]]</f>
        <v>68.770288687894933</v>
      </c>
      <c r="S493" s="10">
        <f>Table1_2[[#This Row],[Yield per Acre]]/Table1_2[[#This Row],[Yield (Kg/Ha)]]</f>
        <v>1.2390038409119069E-2</v>
      </c>
      <c r="T493" s="11">
        <f>Table1_2[[#This Row],[Yield per Acre]]/N493</f>
        <v>0.90356442895670652</v>
      </c>
    </row>
    <row r="494" spans="1:20" x14ac:dyDescent="0.3">
      <c r="A494" s="8" t="s">
        <v>559</v>
      </c>
      <c r="B494" s="9">
        <v>2011</v>
      </c>
      <c r="C494" s="9" t="str">
        <f>TEXT(B494,"YYYY-MM")</f>
        <v>1905-07</v>
      </c>
      <c r="D494" s="10">
        <v>2011</v>
      </c>
      <c r="E494" s="8" t="s">
        <v>59</v>
      </c>
      <c r="F494" s="8" t="s">
        <v>60</v>
      </c>
      <c r="G494" s="8" t="s">
        <v>33</v>
      </c>
      <c r="H494" s="8" t="s">
        <v>39</v>
      </c>
      <c r="I494" s="10">
        <v>45.04</v>
      </c>
      <c r="J494" s="10">
        <v>201.71</v>
      </c>
      <c r="K494" s="10">
        <v>4478.57</v>
      </c>
      <c r="L494" s="8" t="s">
        <v>28</v>
      </c>
      <c r="M494" s="8" t="s">
        <v>49</v>
      </c>
      <c r="N494" s="10">
        <v>99.69</v>
      </c>
      <c r="O494" s="10">
        <v>876.85</v>
      </c>
      <c r="P494" s="8" t="s">
        <v>70</v>
      </c>
      <c r="Q494" s="10">
        <v>23.45</v>
      </c>
      <c r="R494" s="10">
        <f xml:space="preserve"> Table1_2[[#This Row],[Yield (Kg/Ha)]]/Table1_2[[#This Row],[Area (Hectares)]]</f>
        <v>99.43539076376554</v>
      </c>
      <c r="S494" s="10">
        <f>Table1_2[[#This Row],[Yield per Acre]]/Table1_2[[#This Row],[Yield (Kg/Ha)]]</f>
        <v>2.2202486678507993E-2</v>
      </c>
      <c r="T494" s="11">
        <f>Table1_2[[#This Row],[Yield per Acre]]/N494</f>
        <v>0.99744599020729807</v>
      </c>
    </row>
    <row r="495" spans="1:20" x14ac:dyDescent="0.3">
      <c r="A495" s="8" t="s">
        <v>560</v>
      </c>
      <c r="B495" s="9">
        <v>2013</v>
      </c>
      <c r="C495" s="9" t="str">
        <f>TEXT(B495,"YYYY-MM")</f>
        <v>1905-07</v>
      </c>
      <c r="D495" s="10">
        <v>2013</v>
      </c>
      <c r="E495" s="8" t="s">
        <v>103</v>
      </c>
      <c r="F495" s="8" t="s">
        <v>104</v>
      </c>
      <c r="G495" s="8" t="s">
        <v>19</v>
      </c>
      <c r="H495" s="8" t="s">
        <v>46</v>
      </c>
      <c r="I495" s="10">
        <v>87.12</v>
      </c>
      <c r="J495" s="10">
        <v>283.42</v>
      </c>
      <c r="K495" s="10">
        <v>3253.19</v>
      </c>
      <c r="L495" s="8" t="s">
        <v>40</v>
      </c>
      <c r="M495" s="8" t="s">
        <v>41</v>
      </c>
      <c r="N495" s="10">
        <v>68.38</v>
      </c>
      <c r="O495" s="10">
        <v>785.09</v>
      </c>
      <c r="P495" s="8" t="s">
        <v>23</v>
      </c>
      <c r="Q495" s="10">
        <v>33.36</v>
      </c>
      <c r="R495" s="10">
        <f xml:space="preserve"> Table1_2[[#This Row],[Yield (Kg/Ha)]]/Table1_2[[#This Row],[Area (Hectares)]]</f>
        <v>37.341483011937555</v>
      </c>
      <c r="S495" s="10">
        <f>Table1_2[[#This Row],[Yield per Acre]]/Table1_2[[#This Row],[Yield (Kg/Ha)]]</f>
        <v>1.1478420569329659E-2</v>
      </c>
      <c r="T495" s="11">
        <f>Table1_2[[#This Row],[Yield per Acre]]/N495</f>
        <v>0.54608778900171917</v>
      </c>
    </row>
    <row r="496" spans="1:20" x14ac:dyDescent="0.3">
      <c r="A496" s="8" t="s">
        <v>561</v>
      </c>
      <c r="B496" s="9">
        <v>2013</v>
      </c>
      <c r="C496" s="9" t="str">
        <f>TEXT(B496,"YYYY-MM")</f>
        <v>1905-07</v>
      </c>
      <c r="D496" s="10">
        <v>2012</v>
      </c>
      <c r="E496" s="8" t="s">
        <v>59</v>
      </c>
      <c r="F496" s="8" t="s">
        <v>63</v>
      </c>
      <c r="G496" s="8" t="s">
        <v>38</v>
      </c>
      <c r="H496" s="8" t="s">
        <v>20</v>
      </c>
      <c r="I496" s="10">
        <v>14.5</v>
      </c>
      <c r="J496" s="10">
        <v>77.12</v>
      </c>
      <c r="K496" s="10">
        <v>5318.93</v>
      </c>
      <c r="L496" s="8" t="s">
        <v>34</v>
      </c>
      <c r="M496" s="8" t="s">
        <v>22</v>
      </c>
      <c r="N496" s="10">
        <v>293.89</v>
      </c>
      <c r="O496" s="10">
        <v>402.21</v>
      </c>
      <c r="P496" s="8" t="s">
        <v>42</v>
      </c>
      <c r="Q496" s="10">
        <v>20.48</v>
      </c>
      <c r="R496" s="10">
        <f xml:space="preserve"> Table1_2[[#This Row],[Yield (Kg/Ha)]]/Table1_2[[#This Row],[Area (Hectares)]]</f>
        <v>366.82275862068968</v>
      </c>
      <c r="S496" s="10">
        <f>Table1_2[[#This Row],[Yield per Acre]]/Table1_2[[#This Row],[Yield (Kg/Ha)]]</f>
        <v>6.8965517241379309E-2</v>
      </c>
      <c r="T496" s="11">
        <f>Table1_2[[#This Row],[Yield per Acre]]/N496</f>
        <v>1.2481634578267029</v>
      </c>
    </row>
    <row r="497" spans="1:20" x14ac:dyDescent="0.3">
      <c r="A497" s="8" t="s">
        <v>562</v>
      </c>
      <c r="B497" s="9">
        <v>2012</v>
      </c>
      <c r="C497" s="9" t="str">
        <f>TEXT(B497,"YYYY-MM")</f>
        <v>1905-07</v>
      </c>
      <c r="D497" s="10">
        <v>2011</v>
      </c>
      <c r="E497" s="8" t="s">
        <v>31</v>
      </c>
      <c r="F497" s="8" t="s">
        <v>82</v>
      </c>
      <c r="G497" s="8" t="s">
        <v>38</v>
      </c>
      <c r="H497" s="8" t="s">
        <v>46</v>
      </c>
      <c r="I497" s="10">
        <v>42.4</v>
      </c>
      <c r="J497" s="10">
        <v>235.83</v>
      </c>
      <c r="K497" s="10">
        <v>5562.04</v>
      </c>
      <c r="L497" s="8" t="s">
        <v>40</v>
      </c>
      <c r="M497" s="8" t="s">
        <v>47</v>
      </c>
      <c r="N497" s="10">
        <v>271.60000000000002</v>
      </c>
      <c r="O497" s="10">
        <v>803.64</v>
      </c>
      <c r="P497" s="8" t="s">
        <v>61</v>
      </c>
      <c r="Q497" s="10">
        <v>33.58</v>
      </c>
      <c r="R497" s="10">
        <f xml:space="preserve"> Table1_2[[#This Row],[Yield (Kg/Ha)]]/Table1_2[[#This Row],[Area (Hectares)]]</f>
        <v>131.18018867924528</v>
      </c>
      <c r="S497" s="10">
        <f>Table1_2[[#This Row],[Yield per Acre]]/Table1_2[[#This Row],[Yield (Kg/Ha)]]</f>
        <v>2.3584905660377357E-2</v>
      </c>
      <c r="T497" s="11">
        <f>Table1_2[[#This Row],[Yield per Acre]]/N497</f>
        <v>0.48299038541695605</v>
      </c>
    </row>
    <row r="498" spans="1:20" x14ac:dyDescent="0.3">
      <c r="A498" s="8" t="s">
        <v>563</v>
      </c>
      <c r="B498" s="9">
        <v>2012</v>
      </c>
      <c r="C498" s="9" t="str">
        <f>TEXT(B498,"YYYY-MM")</f>
        <v>1905-07</v>
      </c>
      <c r="D498" s="10">
        <v>2011</v>
      </c>
      <c r="E498" s="8" t="s">
        <v>44</v>
      </c>
      <c r="F498" s="8" t="s">
        <v>45</v>
      </c>
      <c r="G498" s="8" t="s">
        <v>38</v>
      </c>
      <c r="H498" s="8" t="s">
        <v>27</v>
      </c>
      <c r="I498" s="10">
        <v>49.43</v>
      </c>
      <c r="J498" s="10">
        <v>344.72</v>
      </c>
      <c r="K498" s="10">
        <v>6973.99</v>
      </c>
      <c r="L498" s="8" t="s">
        <v>28</v>
      </c>
      <c r="M498" s="8" t="s">
        <v>41</v>
      </c>
      <c r="N498" s="10">
        <v>259.25</v>
      </c>
      <c r="O498" s="10">
        <v>479.17</v>
      </c>
      <c r="P498" s="8" t="s">
        <v>52</v>
      </c>
      <c r="Q498" s="10">
        <v>31.04</v>
      </c>
      <c r="R498" s="10">
        <f xml:space="preserve"> Table1_2[[#This Row],[Yield (Kg/Ha)]]/Table1_2[[#This Row],[Area (Hectares)]]</f>
        <v>141.0882055431924</v>
      </c>
      <c r="S498" s="10">
        <f>Table1_2[[#This Row],[Yield per Acre]]/Table1_2[[#This Row],[Yield (Kg/Ha)]]</f>
        <v>2.0230629172567269E-2</v>
      </c>
      <c r="T498" s="11">
        <f>Table1_2[[#This Row],[Yield per Acre]]/N498</f>
        <v>0.54421680055233324</v>
      </c>
    </row>
    <row r="499" spans="1:20" x14ac:dyDescent="0.3">
      <c r="A499" s="8" t="s">
        <v>564</v>
      </c>
      <c r="B499" s="9">
        <v>2019</v>
      </c>
      <c r="C499" s="9" t="str">
        <f>TEXT(B499,"YYYY-MM")</f>
        <v>1905-07</v>
      </c>
      <c r="D499" s="10">
        <v>2019</v>
      </c>
      <c r="E499" s="8" t="s">
        <v>31</v>
      </c>
      <c r="F499" s="8" t="s">
        <v>32</v>
      </c>
      <c r="G499" s="8" t="s">
        <v>33</v>
      </c>
      <c r="H499" s="8" t="s">
        <v>27</v>
      </c>
      <c r="I499" s="10">
        <v>94.68</v>
      </c>
      <c r="J499" s="10">
        <v>613.77</v>
      </c>
      <c r="K499" s="10">
        <v>6482.53</v>
      </c>
      <c r="L499" s="8" t="s">
        <v>21</v>
      </c>
      <c r="M499" s="8" t="s">
        <v>22</v>
      </c>
      <c r="N499" s="10">
        <v>154.44</v>
      </c>
      <c r="O499" s="10">
        <v>244.22</v>
      </c>
      <c r="P499" s="8" t="s">
        <v>52</v>
      </c>
      <c r="Q499" s="10">
        <v>31</v>
      </c>
      <c r="R499" s="10">
        <f xml:space="preserve"> Table1_2[[#This Row],[Yield (Kg/Ha)]]/Table1_2[[#This Row],[Area (Hectares)]]</f>
        <v>68.467786227291924</v>
      </c>
      <c r="S499" s="10">
        <f>Table1_2[[#This Row],[Yield per Acre]]/Table1_2[[#This Row],[Yield (Kg/Ha)]]</f>
        <v>1.0561892691170258E-2</v>
      </c>
      <c r="T499" s="11">
        <f>Table1_2[[#This Row],[Yield per Acre]]/N499</f>
        <v>0.44332935915107435</v>
      </c>
    </row>
    <row r="500" spans="1:20" x14ac:dyDescent="0.3">
      <c r="A500" s="8" t="s">
        <v>565</v>
      </c>
      <c r="B500" s="9">
        <v>2016</v>
      </c>
      <c r="C500" s="9" t="str">
        <f>TEXT(B500,"YYYY-MM")</f>
        <v>1905-07</v>
      </c>
      <c r="D500" s="10">
        <v>2016</v>
      </c>
      <c r="E500" s="8" t="s">
        <v>36</v>
      </c>
      <c r="F500" s="8" t="s">
        <v>77</v>
      </c>
      <c r="G500" s="8" t="s">
        <v>38</v>
      </c>
      <c r="H500" s="8" t="s">
        <v>39</v>
      </c>
      <c r="I500" s="10">
        <v>82.31</v>
      </c>
      <c r="J500" s="10">
        <v>305.75</v>
      </c>
      <c r="K500" s="10">
        <v>3714.65</v>
      </c>
      <c r="L500" s="8" t="s">
        <v>40</v>
      </c>
      <c r="M500" s="8" t="s">
        <v>49</v>
      </c>
      <c r="N500" s="10">
        <v>70.77</v>
      </c>
      <c r="O500" s="10">
        <v>953.08</v>
      </c>
      <c r="P500" s="8" t="s">
        <v>52</v>
      </c>
      <c r="Q500" s="10">
        <v>34.25</v>
      </c>
      <c r="R500" s="10">
        <f xml:space="preserve"> Table1_2[[#This Row],[Yield (Kg/Ha)]]/Table1_2[[#This Row],[Area (Hectares)]]</f>
        <v>45.129996355242376</v>
      </c>
      <c r="S500" s="10">
        <f>Table1_2[[#This Row],[Yield per Acre]]/Table1_2[[#This Row],[Yield (Kg/Ha)]]</f>
        <v>1.2149192078726764E-2</v>
      </c>
      <c r="T500" s="11">
        <f>Table1_2[[#This Row],[Yield per Acre]]/N500</f>
        <v>0.63769953872039531</v>
      </c>
    </row>
    <row r="501" spans="1:20" x14ac:dyDescent="0.3">
      <c r="A501" s="8" t="s">
        <v>566</v>
      </c>
      <c r="B501" s="9">
        <v>2020</v>
      </c>
      <c r="C501" s="9" t="str">
        <f>TEXT(B501,"YYYY-MM")</f>
        <v>1905-07</v>
      </c>
      <c r="D501" s="10">
        <v>2020</v>
      </c>
      <c r="E501" s="8" t="s">
        <v>31</v>
      </c>
      <c r="F501" s="8" t="s">
        <v>82</v>
      </c>
      <c r="G501" s="8" t="s">
        <v>33</v>
      </c>
      <c r="H501" s="8" t="s">
        <v>64</v>
      </c>
      <c r="I501" s="10">
        <v>48.5</v>
      </c>
      <c r="J501" s="10">
        <v>137.21</v>
      </c>
      <c r="K501" s="10">
        <v>2829.02</v>
      </c>
      <c r="L501" s="8" t="s">
        <v>28</v>
      </c>
      <c r="M501" s="8" t="s">
        <v>41</v>
      </c>
      <c r="N501" s="10">
        <v>264.48</v>
      </c>
      <c r="O501" s="10">
        <v>947.29</v>
      </c>
      <c r="P501" s="8" t="s">
        <v>23</v>
      </c>
      <c r="Q501" s="10">
        <v>34.65</v>
      </c>
      <c r="R501" s="10">
        <f xml:space="preserve"> Table1_2[[#This Row],[Yield (Kg/Ha)]]/Table1_2[[#This Row],[Area (Hectares)]]</f>
        <v>58.330309278350512</v>
      </c>
      <c r="S501" s="10">
        <f>Table1_2[[#This Row],[Yield per Acre]]/Table1_2[[#This Row],[Yield (Kg/Ha)]]</f>
        <v>2.0618556701030927E-2</v>
      </c>
      <c r="T501" s="11">
        <f>Table1_2[[#This Row],[Yield per Acre]]/N501</f>
        <v>0.22054714639424725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B02C1-3DBB-4A60-92B8-5426FE35CB6F}">
  <dimension ref="A1:Q501"/>
  <sheetViews>
    <sheetView topLeftCell="C435" workbookViewId="0">
      <selection activeCell="H442" sqref="A1:P501"/>
    </sheetView>
  </sheetViews>
  <sheetFormatPr defaultRowHeight="14.4" x14ac:dyDescent="0.3"/>
  <cols>
    <col min="1" max="1" width="9.109375" customWidth="1"/>
    <col min="2" max="2" width="10.33203125" bestFit="1" customWidth="1"/>
    <col min="3" max="3" width="6.5546875" customWidth="1"/>
    <col min="4" max="4" width="12.21875" style="1" bestFit="1" customWidth="1"/>
    <col min="5" max="5" width="9.21875" bestFit="1" customWidth="1"/>
    <col min="6" max="6" width="8.88671875" customWidth="1"/>
    <col min="7" max="7" width="12.33203125" customWidth="1"/>
    <col min="8" max="8" width="15.77734375" customWidth="1"/>
    <col min="9" max="9" width="20.109375" customWidth="1"/>
    <col min="10" max="10" width="13.88671875" customWidth="1"/>
    <col min="11" max="11" width="15.109375" customWidth="1"/>
    <col min="12" max="12" width="14.44140625" customWidth="1"/>
    <col min="13" max="13" width="18.44140625" customWidth="1"/>
    <col min="14" max="14" width="14.21875" customWidth="1"/>
    <col min="15" max="15" width="10.44140625" customWidth="1"/>
    <col min="16" max="16" width="21.21875" customWidth="1"/>
    <col min="17" max="17" width="10.44140625" customWidth="1"/>
  </cols>
  <sheetData>
    <row r="1" spans="1:16" x14ac:dyDescent="0.3">
      <c r="A1" s="13" t="s">
        <v>0</v>
      </c>
      <c r="B1" s="14" t="s">
        <v>1</v>
      </c>
      <c r="C1" s="14" t="s">
        <v>2</v>
      </c>
      <c r="D1" s="15" t="s">
        <v>3</v>
      </c>
      <c r="E1" s="14" t="s">
        <v>4</v>
      </c>
      <c r="F1" s="14" t="s">
        <v>5</v>
      </c>
      <c r="G1" s="14" t="s">
        <v>6</v>
      </c>
      <c r="H1" s="14" t="s">
        <v>7</v>
      </c>
      <c r="I1" s="14" t="s">
        <v>8</v>
      </c>
      <c r="J1" s="14" t="s">
        <v>9</v>
      </c>
      <c r="K1" s="14" t="s">
        <v>10</v>
      </c>
      <c r="L1" s="14" t="s">
        <v>11</v>
      </c>
      <c r="M1" s="14" t="s">
        <v>12</v>
      </c>
      <c r="N1" s="14" t="s">
        <v>13</v>
      </c>
      <c r="O1" s="14" t="s">
        <v>14</v>
      </c>
      <c r="P1" s="16" t="s">
        <v>15</v>
      </c>
    </row>
    <row r="2" spans="1:16" x14ac:dyDescent="0.3">
      <c r="A2" s="17" t="s">
        <v>16</v>
      </c>
      <c r="B2" s="18">
        <v>40271</v>
      </c>
      <c r="C2" s="19">
        <v>2010</v>
      </c>
      <c r="D2" s="20" t="s">
        <v>17</v>
      </c>
      <c r="E2" s="19" t="s">
        <v>18</v>
      </c>
      <c r="F2" s="19" t="s">
        <v>19</v>
      </c>
      <c r="G2" s="19" t="s">
        <v>20</v>
      </c>
      <c r="H2" s="19">
        <v>25.24</v>
      </c>
      <c r="I2" s="19">
        <v>46.37</v>
      </c>
      <c r="J2" s="19">
        <v>1837.23</v>
      </c>
      <c r="K2" s="19" t="s">
        <v>21</v>
      </c>
      <c r="L2" s="19" t="s">
        <v>22</v>
      </c>
      <c r="M2" s="19">
        <v>219.17</v>
      </c>
      <c r="N2" s="19">
        <v>1092.18</v>
      </c>
      <c r="O2" s="19" t="s">
        <v>23</v>
      </c>
      <c r="P2" s="21">
        <v>28.86</v>
      </c>
    </row>
    <row r="3" spans="1:16" x14ac:dyDescent="0.3">
      <c r="A3" s="17" t="s">
        <v>24</v>
      </c>
      <c r="B3" s="18">
        <v>41375</v>
      </c>
      <c r="C3" s="19">
        <v>2013</v>
      </c>
      <c r="D3" s="20" t="s">
        <v>25</v>
      </c>
      <c r="E3" s="19" t="s">
        <v>26</v>
      </c>
      <c r="F3" s="19" t="s">
        <v>19</v>
      </c>
      <c r="G3" s="19" t="s">
        <v>27</v>
      </c>
      <c r="H3" s="19">
        <v>3.63</v>
      </c>
      <c r="I3" s="19">
        <v>7.96</v>
      </c>
      <c r="J3" s="19">
        <v>2193.0300000000002</v>
      </c>
      <c r="K3" s="19" t="s">
        <v>28</v>
      </c>
      <c r="L3" s="19" t="s">
        <v>29</v>
      </c>
      <c r="M3" s="19">
        <v>105.11</v>
      </c>
      <c r="N3" s="19">
        <v>789.27</v>
      </c>
      <c r="O3" s="19" t="s">
        <v>23</v>
      </c>
      <c r="P3" s="21">
        <v>31.38</v>
      </c>
    </row>
    <row r="4" spans="1:16" x14ac:dyDescent="0.3">
      <c r="A4" s="17" t="s">
        <v>30</v>
      </c>
      <c r="B4" s="18">
        <v>41198</v>
      </c>
      <c r="C4" s="19">
        <v>2012</v>
      </c>
      <c r="D4" s="20" t="s">
        <v>31</v>
      </c>
      <c r="E4" s="19" t="s">
        <v>32</v>
      </c>
      <c r="F4" s="19" t="s">
        <v>33</v>
      </c>
      <c r="G4" s="19" t="s">
        <v>20</v>
      </c>
      <c r="H4" s="19">
        <v>11.12</v>
      </c>
      <c r="I4" s="19">
        <v>36.47</v>
      </c>
      <c r="J4" s="19">
        <v>3279.56</v>
      </c>
      <c r="K4" s="19" t="s">
        <v>34</v>
      </c>
      <c r="L4" s="19" t="s">
        <v>22</v>
      </c>
      <c r="M4" s="19">
        <v>261.87</v>
      </c>
      <c r="N4" s="19">
        <v>803.73</v>
      </c>
      <c r="O4" s="19" t="s">
        <v>23</v>
      </c>
      <c r="P4" s="21">
        <v>30.95</v>
      </c>
    </row>
    <row r="5" spans="1:16" x14ac:dyDescent="0.3">
      <c r="A5" s="17" t="s">
        <v>35</v>
      </c>
      <c r="B5" s="18">
        <v>43425</v>
      </c>
      <c r="C5" s="19">
        <v>2018</v>
      </c>
      <c r="D5" s="20" t="s">
        <v>36</v>
      </c>
      <c r="E5" s="19" t="s">
        <v>37</v>
      </c>
      <c r="F5" s="19" t="s">
        <v>38</v>
      </c>
      <c r="G5" s="19" t="s">
        <v>39</v>
      </c>
      <c r="H5" s="19">
        <v>62.23</v>
      </c>
      <c r="I5" s="19">
        <v>383.97</v>
      </c>
      <c r="J5" s="19">
        <v>6170.24</v>
      </c>
      <c r="K5" s="19" t="s">
        <v>40</v>
      </c>
      <c r="L5" s="19" t="s">
        <v>41</v>
      </c>
      <c r="M5" s="19">
        <v>226.14</v>
      </c>
      <c r="N5" s="19">
        <v>245.82</v>
      </c>
      <c r="O5" s="19" t="s">
        <v>42</v>
      </c>
      <c r="P5" s="21">
        <v>31.6</v>
      </c>
    </row>
    <row r="6" spans="1:16" x14ac:dyDescent="0.3">
      <c r="A6" s="17" t="s">
        <v>43</v>
      </c>
      <c r="B6" s="18">
        <v>42718</v>
      </c>
      <c r="C6" s="19">
        <v>2016</v>
      </c>
      <c r="D6" s="20" t="s">
        <v>44</v>
      </c>
      <c r="E6" s="19" t="s">
        <v>45</v>
      </c>
      <c r="F6" s="19" t="s">
        <v>38</v>
      </c>
      <c r="G6" s="19" t="s">
        <v>46</v>
      </c>
      <c r="H6" s="19">
        <v>63.93</v>
      </c>
      <c r="I6" s="19">
        <v>203.87</v>
      </c>
      <c r="J6" s="19">
        <v>3188.99</v>
      </c>
      <c r="K6" s="19" t="s">
        <v>34</v>
      </c>
      <c r="L6" s="19" t="s">
        <v>47</v>
      </c>
      <c r="M6" s="19">
        <v>138.82</v>
      </c>
      <c r="N6" s="19">
        <v>870.18</v>
      </c>
      <c r="O6" s="19" t="s">
        <v>23</v>
      </c>
      <c r="P6" s="21">
        <v>29.14</v>
      </c>
    </row>
    <row r="7" spans="1:16" x14ac:dyDescent="0.3">
      <c r="A7" s="17" t="s">
        <v>48</v>
      </c>
      <c r="B7" s="18">
        <v>41222</v>
      </c>
      <c r="C7" s="19">
        <v>2012</v>
      </c>
      <c r="D7" s="20" t="s">
        <v>17</v>
      </c>
      <c r="E7" s="19" t="s">
        <v>18</v>
      </c>
      <c r="F7" s="19" t="s">
        <v>38</v>
      </c>
      <c r="G7" s="19" t="s">
        <v>46</v>
      </c>
      <c r="H7" s="19">
        <v>27.72</v>
      </c>
      <c r="I7" s="19">
        <v>181.63</v>
      </c>
      <c r="J7" s="19">
        <v>6552.35</v>
      </c>
      <c r="K7" s="19" t="s">
        <v>40</v>
      </c>
      <c r="L7" s="19" t="s">
        <v>49</v>
      </c>
      <c r="M7" s="19">
        <v>221.15</v>
      </c>
      <c r="N7" s="19">
        <v>1042.8499999999999</v>
      </c>
      <c r="O7" s="19" t="s">
        <v>23</v>
      </c>
      <c r="P7" s="21">
        <v>23.44</v>
      </c>
    </row>
    <row r="8" spans="1:16" x14ac:dyDescent="0.3">
      <c r="A8" s="17" t="s">
        <v>50</v>
      </c>
      <c r="B8" s="18">
        <v>40730</v>
      </c>
      <c r="C8" s="19">
        <v>2011</v>
      </c>
      <c r="D8" s="20" t="s">
        <v>36</v>
      </c>
      <c r="E8" s="19" t="s">
        <v>51</v>
      </c>
      <c r="F8" s="19" t="s">
        <v>33</v>
      </c>
      <c r="G8" s="19" t="s">
        <v>27</v>
      </c>
      <c r="H8" s="19">
        <v>87.76</v>
      </c>
      <c r="I8" s="19">
        <v>253.46</v>
      </c>
      <c r="J8" s="19">
        <v>2888.07</v>
      </c>
      <c r="K8" s="19" t="s">
        <v>28</v>
      </c>
      <c r="L8" s="19" t="s">
        <v>41</v>
      </c>
      <c r="M8" s="19">
        <v>148.91</v>
      </c>
      <c r="N8" s="19">
        <v>1114.55</v>
      </c>
      <c r="O8" s="19" t="s">
        <v>52</v>
      </c>
      <c r="P8" s="21">
        <v>22.14</v>
      </c>
    </row>
    <row r="9" spans="1:16" x14ac:dyDescent="0.3">
      <c r="A9" s="17" t="s">
        <v>53</v>
      </c>
      <c r="B9" s="18">
        <v>43428</v>
      </c>
      <c r="C9" s="19">
        <v>2018</v>
      </c>
      <c r="D9" s="20" t="s">
        <v>17</v>
      </c>
      <c r="E9" s="19" t="s">
        <v>54</v>
      </c>
      <c r="F9" s="19" t="s">
        <v>38</v>
      </c>
      <c r="G9" s="19" t="s">
        <v>39</v>
      </c>
      <c r="H9" s="19">
        <v>58.87</v>
      </c>
      <c r="I9" s="19">
        <v>376</v>
      </c>
      <c r="J9" s="19">
        <v>6386.94</v>
      </c>
      <c r="K9" s="19" t="s">
        <v>28</v>
      </c>
      <c r="L9" s="19" t="s">
        <v>22</v>
      </c>
      <c r="M9" s="19">
        <v>140.5</v>
      </c>
      <c r="N9" s="19">
        <v>1197.33</v>
      </c>
      <c r="O9" s="19" t="s">
        <v>42</v>
      </c>
      <c r="P9" s="21">
        <v>27.64</v>
      </c>
    </row>
    <row r="10" spans="1:16" x14ac:dyDescent="0.3">
      <c r="A10" s="17" t="s">
        <v>55</v>
      </c>
      <c r="B10" s="18">
        <v>41035</v>
      </c>
      <c r="C10" s="19">
        <v>2012</v>
      </c>
      <c r="D10" s="20" t="s">
        <v>44</v>
      </c>
      <c r="E10" s="19" t="s">
        <v>45</v>
      </c>
      <c r="F10" s="19" t="s">
        <v>19</v>
      </c>
      <c r="G10" s="19" t="s">
        <v>56</v>
      </c>
      <c r="H10" s="19">
        <v>79.42</v>
      </c>
      <c r="I10" s="19">
        <v>280.58999999999997</v>
      </c>
      <c r="J10" s="19">
        <v>3532.96</v>
      </c>
      <c r="K10" s="19" t="s">
        <v>21</v>
      </c>
      <c r="L10" s="19" t="s">
        <v>22</v>
      </c>
      <c r="M10" s="19">
        <v>146.19</v>
      </c>
      <c r="N10" s="19">
        <v>795.89</v>
      </c>
      <c r="O10" s="19" t="s">
        <v>52</v>
      </c>
      <c r="P10" s="21">
        <v>27.94</v>
      </c>
    </row>
    <row r="11" spans="1:16" x14ac:dyDescent="0.3">
      <c r="A11" s="17" t="s">
        <v>57</v>
      </c>
      <c r="B11" s="18">
        <v>40680</v>
      </c>
      <c r="C11" s="19">
        <v>2011</v>
      </c>
      <c r="D11" s="20" t="s">
        <v>17</v>
      </c>
      <c r="E11" s="19" t="s">
        <v>54</v>
      </c>
      <c r="F11" s="19" t="s">
        <v>19</v>
      </c>
      <c r="G11" s="19" t="s">
        <v>27</v>
      </c>
      <c r="H11" s="19">
        <v>75.34</v>
      </c>
      <c r="I11" s="19">
        <v>422.78</v>
      </c>
      <c r="J11" s="19">
        <v>5611.59</v>
      </c>
      <c r="K11" s="19" t="s">
        <v>34</v>
      </c>
      <c r="L11" s="19" t="s">
        <v>49</v>
      </c>
      <c r="M11" s="19">
        <v>77.89</v>
      </c>
      <c r="N11" s="19">
        <v>634.77</v>
      </c>
      <c r="O11" s="19" t="s">
        <v>52</v>
      </c>
      <c r="P11" s="21">
        <v>20.05</v>
      </c>
    </row>
    <row r="12" spans="1:16" x14ac:dyDescent="0.3">
      <c r="A12" s="17" t="s">
        <v>58</v>
      </c>
      <c r="B12" s="18">
        <v>43387</v>
      </c>
      <c r="C12" s="19">
        <v>2018</v>
      </c>
      <c r="D12" s="20" t="s">
        <v>59</v>
      </c>
      <c r="E12" s="19" t="s">
        <v>60</v>
      </c>
      <c r="F12" s="19" t="s">
        <v>33</v>
      </c>
      <c r="G12" s="19" t="s">
        <v>39</v>
      </c>
      <c r="H12" s="19">
        <v>30.55</v>
      </c>
      <c r="I12" s="19">
        <v>147.66999999999999</v>
      </c>
      <c r="J12" s="19">
        <v>4833.7</v>
      </c>
      <c r="K12" s="19" t="s">
        <v>40</v>
      </c>
      <c r="L12" s="19" t="s">
        <v>22</v>
      </c>
      <c r="M12" s="19">
        <v>88.21</v>
      </c>
      <c r="N12" s="19">
        <v>962.51</v>
      </c>
      <c r="O12" s="19" t="s">
        <v>61</v>
      </c>
      <c r="P12" s="21">
        <v>34.299999999999997</v>
      </c>
    </row>
    <row r="13" spans="1:16" x14ac:dyDescent="0.3">
      <c r="A13" s="17" t="s">
        <v>62</v>
      </c>
      <c r="B13" s="18">
        <v>42908</v>
      </c>
      <c r="C13" s="19">
        <v>2017</v>
      </c>
      <c r="D13" s="20" t="s">
        <v>59</v>
      </c>
      <c r="E13" s="19" t="s">
        <v>63</v>
      </c>
      <c r="F13" s="19" t="s">
        <v>33</v>
      </c>
      <c r="G13" s="19" t="s">
        <v>64</v>
      </c>
      <c r="H13" s="19">
        <v>92.98</v>
      </c>
      <c r="I13" s="19">
        <v>583.20000000000005</v>
      </c>
      <c r="J13" s="19">
        <v>6272.33</v>
      </c>
      <c r="K13" s="19" t="s">
        <v>34</v>
      </c>
      <c r="L13" s="19" t="s">
        <v>29</v>
      </c>
      <c r="M13" s="19">
        <v>109.86</v>
      </c>
      <c r="N13" s="19">
        <v>440.87</v>
      </c>
      <c r="O13" s="19" t="s">
        <v>61</v>
      </c>
      <c r="P13" s="21">
        <v>34.200000000000003</v>
      </c>
    </row>
    <row r="14" spans="1:16" x14ac:dyDescent="0.3">
      <c r="A14" s="17" t="s">
        <v>65</v>
      </c>
      <c r="B14" s="18">
        <v>44711</v>
      </c>
      <c r="C14" s="19">
        <v>2022</v>
      </c>
      <c r="D14" s="20" t="s">
        <v>44</v>
      </c>
      <c r="E14" s="19" t="s">
        <v>45</v>
      </c>
      <c r="F14" s="19" t="s">
        <v>19</v>
      </c>
      <c r="G14" s="19" t="s">
        <v>56</v>
      </c>
      <c r="H14" s="19">
        <v>13.71</v>
      </c>
      <c r="I14" s="19">
        <v>52.81</v>
      </c>
      <c r="J14" s="19">
        <v>3851.69</v>
      </c>
      <c r="K14" s="19" t="s">
        <v>40</v>
      </c>
      <c r="L14" s="19" t="s">
        <v>47</v>
      </c>
      <c r="M14" s="19">
        <v>116.26</v>
      </c>
      <c r="N14" s="19">
        <v>1072.43</v>
      </c>
      <c r="O14" s="19" t="s">
        <v>52</v>
      </c>
      <c r="P14" s="21">
        <v>34.47</v>
      </c>
    </row>
    <row r="15" spans="1:16" x14ac:dyDescent="0.3">
      <c r="A15" s="17" t="s">
        <v>66</v>
      </c>
      <c r="B15" s="18">
        <v>44364</v>
      </c>
      <c r="C15" s="19">
        <v>2021</v>
      </c>
      <c r="D15" s="20" t="s">
        <v>44</v>
      </c>
      <c r="E15" s="19" t="s">
        <v>67</v>
      </c>
      <c r="F15" s="19" t="s">
        <v>33</v>
      </c>
      <c r="G15" s="19" t="s">
        <v>39</v>
      </c>
      <c r="H15" s="19">
        <v>31.86</v>
      </c>
      <c r="I15" s="19">
        <v>222.09</v>
      </c>
      <c r="J15" s="19">
        <v>6970.9</v>
      </c>
      <c r="K15" s="19" t="s">
        <v>34</v>
      </c>
      <c r="L15" s="19" t="s">
        <v>49</v>
      </c>
      <c r="M15" s="19">
        <v>159.53</v>
      </c>
      <c r="N15" s="19">
        <v>717.58</v>
      </c>
      <c r="O15" s="19" t="s">
        <v>23</v>
      </c>
      <c r="P15" s="21">
        <v>23.72</v>
      </c>
    </row>
    <row r="16" spans="1:16" x14ac:dyDescent="0.3">
      <c r="A16" s="17" t="s">
        <v>68</v>
      </c>
      <c r="B16" s="18">
        <v>43312</v>
      </c>
      <c r="C16" s="19">
        <v>2018</v>
      </c>
      <c r="D16" s="20" t="s">
        <v>25</v>
      </c>
      <c r="E16" s="19" t="s">
        <v>69</v>
      </c>
      <c r="F16" s="19" t="s">
        <v>33</v>
      </c>
      <c r="G16" s="19" t="s">
        <v>27</v>
      </c>
      <c r="H16" s="19">
        <v>22.8</v>
      </c>
      <c r="I16" s="19">
        <v>32.51</v>
      </c>
      <c r="J16" s="19">
        <v>1425.96</v>
      </c>
      <c r="K16" s="19" t="s">
        <v>21</v>
      </c>
      <c r="L16" s="19" t="s">
        <v>49</v>
      </c>
      <c r="M16" s="19">
        <v>107.24</v>
      </c>
      <c r="N16" s="19">
        <v>1105.42</v>
      </c>
      <c r="O16" s="19" t="s">
        <v>70</v>
      </c>
      <c r="P16" s="21">
        <v>21.06</v>
      </c>
    </row>
    <row r="17" spans="1:16" x14ac:dyDescent="0.3">
      <c r="A17" s="17" t="s">
        <v>71</v>
      </c>
      <c r="B17" s="18">
        <v>41371</v>
      </c>
      <c r="C17" s="19">
        <v>2013</v>
      </c>
      <c r="D17" s="20" t="s">
        <v>17</v>
      </c>
      <c r="E17" s="19" t="s">
        <v>72</v>
      </c>
      <c r="F17" s="19" t="s">
        <v>19</v>
      </c>
      <c r="G17" s="19" t="s">
        <v>56</v>
      </c>
      <c r="H17" s="19">
        <v>72.61</v>
      </c>
      <c r="I17" s="19">
        <v>457.03</v>
      </c>
      <c r="J17" s="19">
        <v>6294.3</v>
      </c>
      <c r="K17" s="19" t="s">
        <v>28</v>
      </c>
      <c r="L17" s="19" t="s">
        <v>29</v>
      </c>
      <c r="M17" s="19">
        <v>110.75</v>
      </c>
      <c r="N17" s="19">
        <v>672.97</v>
      </c>
      <c r="O17" s="19" t="s">
        <v>52</v>
      </c>
      <c r="P17" s="21">
        <v>22.86</v>
      </c>
    </row>
    <row r="18" spans="1:16" x14ac:dyDescent="0.3">
      <c r="A18" s="17" t="s">
        <v>73</v>
      </c>
      <c r="B18" s="18">
        <v>42723</v>
      </c>
      <c r="C18" s="19">
        <v>2016</v>
      </c>
      <c r="D18" s="20" t="s">
        <v>31</v>
      </c>
      <c r="E18" s="19" t="s">
        <v>32</v>
      </c>
      <c r="F18" s="19" t="s">
        <v>38</v>
      </c>
      <c r="G18" s="19" t="s">
        <v>39</v>
      </c>
      <c r="H18" s="19">
        <v>6.36</v>
      </c>
      <c r="I18" s="19">
        <v>31.3</v>
      </c>
      <c r="J18" s="19">
        <v>4920.7299999999996</v>
      </c>
      <c r="K18" s="19" t="s">
        <v>21</v>
      </c>
      <c r="L18" s="19" t="s">
        <v>47</v>
      </c>
      <c r="M18" s="19">
        <v>65.150000000000006</v>
      </c>
      <c r="N18" s="19">
        <v>928.21</v>
      </c>
      <c r="O18" s="19" t="s">
        <v>23</v>
      </c>
      <c r="P18" s="21">
        <v>23.73</v>
      </c>
    </row>
    <row r="19" spans="1:16" x14ac:dyDescent="0.3">
      <c r="A19" s="17" t="s">
        <v>74</v>
      </c>
      <c r="B19" s="18">
        <v>42660</v>
      </c>
      <c r="C19" s="19">
        <v>2016</v>
      </c>
      <c r="D19" s="20" t="s">
        <v>36</v>
      </c>
      <c r="E19" s="19" t="s">
        <v>37</v>
      </c>
      <c r="F19" s="19" t="s">
        <v>33</v>
      </c>
      <c r="G19" s="19" t="s">
        <v>20</v>
      </c>
      <c r="H19" s="19">
        <v>46.8</v>
      </c>
      <c r="I19" s="19">
        <v>292.36</v>
      </c>
      <c r="J19" s="19">
        <v>6246.92</v>
      </c>
      <c r="K19" s="19" t="s">
        <v>21</v>
      </c>
      <c r="L19" s="19" t="s">
        <v>22</v>
      </c>
      <c r="M19" s="19">
        <v>160.78</v>
      </c>
      <c r="N19" s="19">
        <v>1061.3499999999999</v>
      </c>
      <c r="O19" s="19" t="s">
        <v>61</v>
      </c>
      <c r="P19" s="21">
        <v>21.47</v>
      </c>
    </row>
    <row r="20" spans="1:16" x14ac:dyDescent="0.3">
      <c r="A20" s="17" t="s">
        <v>75</v>
      </c>
      <c r="B20" s="18">
        <v>41330</v>
      </c>
      <c r="C20" s="19">
        <v>2012</v>
      </c>
      <c r="D20" s="20" t="s">
        <v>25</v>
      </c>
      <c r="E20" s="19" t="s">
        <v>26</v>
      </c>
      <c r="F20" s="19" t="s">
        <v>38</v>
      </c>
      <c r="G20" s="19" t="s">
        <v>46</v>
      </c>
      <c r="H20" s="19">
        <v>48.65</v>
      </c>
      <c r="I20" s="19">
        <v>301.04000000000002</v>
      </c>
      <c r="J20" s="19">
        <v>6187.9</v>
      </c>
      <c r="K20" s="19" t="s">
        <v>21</v>
      </c>
      <c r="L20" s="19" t="s">
        <v>49</v>
      </c>
      <c r="M20" s="19">
        <v>91.16</v>
      </c>
      <c r="N20" s="19">
        <v>202.16</v>
      </c>
      <c r="O20" s="19" t="s">
        <v>52</v>
      </c>
      <c r="P20" s="21">
        <v>23.98</v>
      </c>
    </row>
    <row r="21" spans="1:16" x14ac:dyDescent="0.3">
      <c r="A21" s="17" t="s">
        <v>76</v>
      </c>
      <c r="B21" s="18">
        <v>44307</v>
      </c>
      <c r="C21" s="19">
        <v>2021</v>
      </c>
      <c r="D21" s="20" t="s">
        <v>36</v>
      </c>
      <c r="E21" s="19" t="s">
        <v>77</v>
      </c>
      <c r="F21" s="19" t="s">
        <v>19</v>
      </c>
      <c r="G21" s="19" t="s">
        <v>39</v>
      </c>
      <c r="H21" s="19">
        <v>72.12</v>
      </c>
      <c r="I21" s="19">
        <v>139.1</v>
      </c>
      <c r="J21" s="19">
        <v>1928.78</v>
      </c>
      <c r="K21" s="19" t="s">
        <v>34</v>
      </c>
      <c r="L21" s="19" t="s">
        <v>22</v>
      </c>
      <c r="M21" s="19">
        <v>104.43</v>
      </c>
      <c r="N21" s="19">
        <v>258.48</v>
      </c>
      <c r="O21" s="19" t="s">
        <v>61</v>
      </c>
      <c r="P21" s="21">
        <v>20.91</v>
      </c>
    </row>
    <row r="22" spans="1:16" x14ac:dyDescent="0.3">
      <c r="A22" s="17" t="s">
        <v>78</v>
      </c>
      <c r="B22" s="18">
        <v>42841</v>
      </c>
      <c r="C22" s="19">
        <v>2017</v>
      </c>
      <c r="D22" s="20" t="s">
        <v>25</v>
      </c>
      <c r="E22" s="19" t="s">
        <v>69</v>
      </c>
      <c r="F22" s="19" t="s">
        <v>19</v>
      </c>
      <c r="G22" s="19" t="s">
        <v>27</v>
      </c>
      <c r="H22" s="19">
        <v>16.59</v>
      </c>
      <c r="I22" s="19">
        <v>112.23</v>
      </c>
      <c r="J22" s="19">
        <v>6764.67</v>
      </c>
      <c r="K22" s="19" t="s">
        <v>21</v>
      </c>
      <c r="L22" s="19" t="s">
        <v>29</v>
      </c>
      <c r="M22" s="19">
        <v>262.83999999999997</v>
      </c>
      <c r="N22" s="19">
        <v>268.52</v>
      </c>
      <c r="O22" s="19" t="s">
        <v>23</v>
      </c>
      <c r="P22" s="21">
        <v>30.13</v>
      </c>
    </row>
    <row r="23" spans="1:16" x14ac:dyDescent="0.3">
      <c r="A23" s="17" t="s">
        <v>79</v>
      </c>
      <c r="B23" s="18">
        <v>41390</v>
      </c>
      <c r="C23" s="19">
        <v>2013</v>
      </c>
      <c r="D23" s="20" t="s">
        <v>25</v>
      </c>
      <c r="E23" s="19" t="s">
        <v>69</v>
      </c>
      <c r="F23" s="19" t="s">
        <v>19</v>
      </c>
      <c r="G23" s="19" t="s">
        <v>27</v>
      </c>
      <c r="H23" s="19">
        <v>4.93</v>
      </c>
      <c r="I23" s="19">
        <v>7.36</v>
      </c>
      <c r="J23" s="19">
        <v>1491.9</v>
      </c>
      <c r="K23" s="19" t="s">
        <v>34</v>
      </c>
      <c r="L23" s="19" t="s">
        <v>41</v>
      </c>
      <c r="M23" s="19">
        <v>283.68</v>
      </c>
      <c r="N23" s="19">
        <v>404.26</v>
      </c>
      <c r="O23" s="19" t="s">
        <v>70</v>
      </c>
      <c r="P23" s="21">
        <v>23.58</v>
      </c>
    </row>
    <row r="24" spans="1:16" x14ac:dyDescent="0.3">
      <c r="A24" s="17" t="s">
        <v>80</v>
      </c>
      <c r="B24" s="18">
        <v>41998</v>
      </c>
      <c r="C24" s="19">
        <v>2014</v>
      </c>
      <c r="D24" s="20" t="s">
        <v>17</v>
      </c>
      <c r="E24" s="19" t="s">
        <v>54</v>
      </c>
      <c r="F24" s="19" t="s">
        <v>38</v>
      </c>
      <c r="G24" s="19" t="s">
        <v>20</v>
      </c>
      <c r="H24" s="19">
        <v>92.97</v>
      </c>
      <c r="I24" s="19">
        <v>614.94000000000005</v>
      </c>
      <c r="J24" s="19">
        <v>6614.41</v>
      </c>
      <c r="K24" s="19" t="s">
        <v>21</v>
      </c>
      <c r="L24" s="19" t="s">
        <v>47</v>
      </c>
      <c r="M24" s="19">
        <v>164.57</v>
      </c>
      <c r="N24" s="19">
        <v>1198.45</v>
      </c>
      <c r="O24" s="19" t="s">
        <v>23</v>
      </c>
      <c r="P24" s="21">
        <v>21.1</v>
      </c>
    </row>
    <row r="25" spans="1:16" x14ac:dyDescent="0.3">
      <c r="A25" s="17" t="s">
        <v>81</v>
      </c>
      <c r="B25" s="18">
        <v>42297</v>
      </c>
      <c r="C25" s="19">
        <v>2015</v>
      </c>
      <c r="D25" s="20" t="s">
        <v>31</v>
      </c>
      <c r="E25" s="19" t="s">
        <v>82</v>
      </c>
      <c r="F25" s="19" t="s">
        <v>33</v>
      </c>
      <c r="G25" s="19" t="s">
        <v>56</v>
      </c>
      <c r="H25" s="19">
        <v>37.58</v>
      </c>
      <c r="I25" s="19">
        <v>73.150000000000006</v>
      </c>
      <c r="J25" s="19">
        <v>1946.48</v>
      </c>
      <c r="K25" s="19" t="s">
        <v>34</v>
      </c>
      <c r="L25" s="19" t="s">
        <v>49</v>
      </c>
      <c r="M25" s="19">
        <v>202.92</v>
      </c>
      <c r="N25" s="19">
        <v>1187.23</v>
      </c>
      <c r="O25" s="19" t="s">
        <v>61</v>
      </c>
      <c r="P25" s="21">
        <v>20.12</v>
      </c>
    </row>
    <row r="26" spans="1:16" x14ac:dyDescent="0.3">
      <c r="A26" s="17" t="s">
        <v>83</v>
      </c>
      <c r="B26" s="18">
        <v>41281</v>
      </c>
      <c r="C26" s="19">
        <v>2012</v>
      </c>
      <c r="D26" s="20" t="s">
        <v>17</v>
      </c>
      <c r="E26" s="19" t="s">
        <v>18</v>
      </c>
      <c r="F26" s="19" t="s">
        <v>38</v>
      </c>
      <c r="G26" s="19" t="s">
        <v>64</v>
      </c>
      <c r="H26" s="19">
        <v>89.08</v>
      </c>
      <c r="I26" s="19">
        <v>485.89</v>
      </c>
      <c r="J26" s="19">
        <v>5454.5</v>
      </c>
      <c r="K26" s="19" t="s">
        <v>40</v>
      </c>
      <c r="L26" s="19" t="s">
        <v>47</v>
      </c>
      <c r="M26" s="19">
        <v>118.09</v>
      </c>
      <c r="N26" s="19">
        <v>804.83</v>
      </c>
      <c r="O26" s="19" t="s">
        <v>70</v>
      </c>
      <c r="P26" s="21">
        <v>23.05</v>
      </c>
    </row>
    <row r="27" spans="1:16" x14ac:dyDescent="0.3">
      <c r="A27" s="17" t="s">
        <v>84</v>
      </c>
      <c r="B27" s="18">
        <v>40443</v>
      </c>
      <c r="C27" s="19">
        <v>2010</v>
      </c>
      <c r="D27" s="20" t="s">
        <v>36</v>
      </c>
      <c r="E27" s="19" t="s">
        <v>51</v>
      </c>
      <c r="F27" s="19" t="s">
        <v>33</v>
      </c>
      <c r="G27" s="19" t="s">
        <v>39</v>
      </c>
      <c r="H27" s="19">
        <v>42.93</v>
      </c>
      <c r="I27" s="19">
        <v>114.2</v>
      </c>
      <c r="J27" s="19">
        <v>2660.08</v>
      </c>
      <c r="K27" s="19" t="s">
        <v>21</v>
      </c>
      <c r="L27" s="19" t="s">
        <v>47</v>
      </c>
      <c r="M27" s="19">
        <v>133.38999999999999</v>
      </c>
      <c r="N27" s="19">
        <v>330.82</v>
      </c>
      <c r="O27" s="19" t="s">
        <v>70</v>
      </c>
      <c r="P27" s="21">
        <v>22.42</v>
      </c>
    </row>
    <row r="28" spans="1:16" x14ac:dyDescent="0.3">
      <c r="A28" s="17" t="s">
        <v>85</v>
      </c>
      <c r="B28" s="18">
        <v>43362</v>
      </c>
      <c r="C28" s="19">
        <v>2018</v>
      </c>
      <c r="D28" s="20" t="s">
        <v>17</v>
      </c>
      <c r="E28" s="19" t="s">
        <v>72</v>
      </c>
      <c r="F28" s="19" t="s">
        <v>33</v>
      </c>
      <c r="G28" s="19" t="s">
        <v>64</v>
      </c>
      <c r="H28" s="19">
        <v>8.4499999999999993</v>
      </c>
      <c r="I28" s="19">
        <v>53.22</v>
      </c>
      <c r="J28" s="19">
        <v>6298.64</v>
      </c>
      <c r="K28" s="19" t="s">
        <v>40</v>
      </c>
      <c r="L28" s="19" t="s">
        <v>41</v>
      </c>
      <c r="M28" s="19">
        <v>186.4</v>
      </c>
      <c r="N28" s="19">
        <v>1034.5999999999999</v>
      </c>
      <c r="O28" s="19" t="s">
        <v>61</v>
      </c>
      <c r="P28" s="21">
        <v>28.29</v>
      </c>
    </row>
    <row r="29" spans="1:16" x14ac:dyDescent="0.3">
      <c r="A29" s="17" t="s">
        <v>86</v>
      </c>
      <c r="B29" s="18">
        <v>42195</v>
      </c>
      <c r="C29" s="19">
        <v>2015</v>
      </c>
      <c r="D29" s="20" t="s">
        <v>25</v>
      </c>
      <c r="E29" s="19" t="s">
        <v>87</v>
      </c>
      <c r="F29" s="19" t="s">
        <v>33</v>
      </c>
      <c r="G29" s="19" t="s">
        <v>20</v>
      </c>
      <c r="H29" s="19">
        <v>21.8</v>
      </c>
      <c r="I29" s="19">
        <v>54.44</v>
      </c>
      <c r="J29" s="19">
        <v>2497.1799999999998</v>
      </c>
      <c r="K29" s="19" t="s">
        <v>21</v>
      </c>
      <c r="L29" s="19" t="s">
        <v>41</v>
      </c>
      <c r="M29" s="19">
        <v>138.41999999999999</v>
      </c>
      <c r="N29" s="19">
        <v>759.88</v>
      </c>
      <c r="O29" s="19" t="s">
        <v>52</v>
      </c>
      <c r="P29" s="21">
        <v>34.61</v>
      </c>
    </row>
    <row r="30" spans="1:16" x14ac:dyDescent="0.3">
      <c r="A30" s="17" t="s">
        <v>88</v>
      </c>
      <c r="B30" s="18">
        <v>44740</v>
      </c>
      <c r="C30" s="19">
        <v>2022</v>
      </c>
      <c r="D30" s="20" t="s">
        <v>44</v>
      </c>
      <c r="E30" s="19" t="s">
        <v>45</v>
      </c>
      <c r="F30" s="19" t="s">
        <v>33</v>
      </c>
      <c r="G30" s="19" t="s">
        <v>46</v>
      </c>
      <c r="H30" s="19">
        <v>3.45</v>
      </c>
      <c r="I30" s="19">
        <v>18.7</v>
      </c>
      <c r="J30" s="19">
        <v>5419.39</v>
      </c>
      <c r="K30" s="19" t="s">
        <v>34</v>
      </c>
      <c r="L30" s="19" t="s">
        <v>29</v>
      </c>
      <c r="M30" s="19">
        <v>245.6</v>
      </c>
      <c r="N30" s="19">
        <v>611.71</v>
      </c>
      <c r="O30" s="19" t="s">
        <v>42</v>
      </c>
      <c r="P30" s="21">
        <v>24</v>
      </c>
    </row>
    <row r="31" spans="1:16" x14ac:dyDescent="0.3">
      <c r="A31" s="17" t="s">
        <v>89</v>
      </c>
      <c r="B31" s="18">
        <v>42936</v>
      </c>
      <c r="C31" s="19">
        <v>2017</v>
      </c>
      <c r="D31" s="20" t="s">
        <v>44</v>
      </c>
      <c r="E31" s="19" t="s">
        <v>45</v>
      </c>
      <c r="F31" s="19" t="s">
        <v>33</v>
      </c>
      <c r="G31" s="19" t="s">
        <v>56</v>
      </c>
      <c r="H31" s="19">
        <v>81.84</v>
      </c>
      <c r="I31" s="19">
        <v>307.87</v>
      </c>
      <c r="J31" s="19">
        <v>3761.82</v>
      </c>
      <c r="K31" s="19" t="s">
        <v>34</v>
      </c>
      <c r="L31" s="19" t="s">
        <v>29</v>
      </c>
      <c r="M31" s="19">
        <v>255.13</v>
      </c>
      <c r="N31" s="19">
        <v>1071.32</v>
      </c>
      <c r="O31" s="19" t="s">
        <v>42</v>
      </c>
      <c r="P31" s="21">
        <v>20.350000000000001</v>
      </c>
    </row>
    <row r="32" spans="1:16" x14ac:dyDescent="0.3">
      <c r="A32" s="17" t="s">
        <v>90</v>
      </c>
      <c r="B32" s="18">
        <v>40915</v>
      </c>
      <c r="C32" s="19">
        <v>2011</v>
      </c>
      <c r="D32" s="20" t="s">
        <v>31</v>
      </c>
      <c r="E32" s="19" t="s">
        <v>32</v>
      </c>
      <c r="F32" s="19" t="s">
        <v>38</v>
      </c>
      <c r="G32" s="19" t="s">
        <v>20</v>
      </c>
      <c r="H32" s="19">
        <v>64.510000000000005</v>
      </c>
      <c r="I32" s="19">
        <v>219.21</v>
      </c>
      <c r="J32" s="19">
        <v>3398.07</v>
      </c>
      <c r="K32" s="19" t="s">
        <v>34</v>
      </c>
      <c r="L32" s="19" t="s">
        <v>22</v>
      </c>
      <c r="M32" s="19">
        <v>284.81</v>
      </c>
      <c r="N32" s="19">
        <v>315.33999999999997</v>
      </c>
      <c r="O32" s="19" t="s">
        <v>70</v>
      </c>
      <c r="P32" s="21">
        <v>22.68</v>
      </c>
    </row>
    <row r="33" spans="1:16" x14ac:dyDescent="0.3">
      <c r="A33" s="17" t="s">
        <v>91</v>
      </c>
      <c r="B33" s="18">
        <v>42786</v>
      </c>
      <c r="C33" s="19">
        <v>2016</v>
      </c>
      <c r="D33" s="20" t="s">
        <v>25</v>
      </c>
      <c r="E33" s="19" t="s">
        <v>69</v>
      </c>
      <c r="F33" s="19" t="s">
        <v>38</v>
      </c>
      <c r="G33" s="19" t="s">
        <v>39</v>
      </c>
      <c r="H33" s="19">
        <v>78.86</v>
      </c>
      <c r="I33" s="19">
        <v>285.33999999999997</v>
      </c>
      <c r="J33" s="19">
        <v>3618.36</v>
      </c>
      <c r="K33" s="19" t="s">
        <v>21</v>
      </c>
      <c r="L33" s="19" t="s">
        <v>22</v>
      </c>
      <c r="M33" s="19">
        <v>146.30000000000001</v>
      </c>
      <c r="N33" s="19">
        <v>776.59</v>
      </c>
      <c r="O33" s="19" t="s">
        <v>70</v>
      </c>
      <c r="P33" s="21">
        <v>20.67</v>
      </c>
    </row>
    <row r="34" spans="1:16" x14ac:dyDescent="0.3">
      <c r="A34" s="17" t="s">
        <v>92</v>
      </c>
      <c r="B34" s="18">
        <v>43964</v>
      </c>
      <c r="C34" s="19">
        <v>2020</v>
      </c>
      <c r="D34" s="20" t="s">
        <v>59</v>
      </c>
      <c r="E34" s="19" t="s">
        <v>93</v>
      </c>
      <c r="F34" s="19" t="s">
        <v>19</v>
      </c>
      <c r="G34" s="19" t="s">
        <v>39</v>
      </c>
      <c r="H34" s="19">
        <v>73.97</v>
      </c>
      <c r="I34" s="19">
        <v>161.41999999999999</v>
      </c>
      <c r="J34" s="19">
        <v>2182.21</v>
      </c>
      <c r="K34" s="19" t="s">
        <v>28</v>
      </c>
      <c r="L34" s="19" t="s">
        <v>22</v>
      </c>
      <c r="M34" s="19">
        <v>67.489999999999995</v>
      </c>
      <c r="N34" s="19">
        <v>864.24</v>
      </c>
      <c r="O34" s="19" t="s">
        <v>70</v>
      </c>
      <c r="P34" s="21">
        <v>29.35</v>
      </c>
    </row>
    <row r="35" spans="1:16" x14ac:dyDescent="0.3">
      <c r="A35" s="17" t="s">
        <v>94</v>
      </c>
      <c r="B35" s="18">
        <v>43449</v>
      </c>
      <c r="C35" s="19">
        <v>2018</v>
      </c>
      <c r="D35" s="20" t="s">
        <v>17</v>
      </c>
      <c r="E35" s="19" t="s">
        <v>72</v>
      </c>
      <c r="F35" s="19" t="s">
        <v>38</v>
      </c>
      <c r="G35" s="19" t="s">
        <v>39</v>
      </c>
      <c r="H35" s="19">
        <v>41.43</v>
      </c>
      <c r="I35" s="19">
        <v>141.46</v>
      </c>
      <c r="J35" s="19">
        <v>3414.4</v>
      </c>
      <c r="K35" s="19" t="s">
        <v>34</v>
      </c>
      <c r="L35" s="19" t="s">
        <v>47</v>
      </c>
      <c r="M35" s="19">
        <v>188.6</v>
      </c>
      <c r="N35" s="19">
        <v>391.84</v>
      </c>
      <c r="O35" s="19" t="s">
        <v>52</v>
      </c>
      <c r="P35" s="21">
        <v>30.16</v>
      </c>
    </row>
    <row r="36" spans="1:16" x14ac:dyDescent="0.3">
      <c r="A36" s="17" t="s">
        <v>95</v>
      </c>
      <c r="B36" s="18">
        <v>42511</v>
      </c>
      <c r="C36" s="19">
        <v>2016</v>
      </c>
      <c r="D36" s="20" t="s">
        <v>59</v>
      </c>
      <c r="E36" s="19" t="s">
        <v>63</v>
      </c>
      <c r="F36" s="19" t="s">
        <v>19</v>
      </c>
      <c r="G36" s="19" t="s">
        <v>64</v>
      </c>
      <c r="H36" s="19">
        <v>31.08</v>
      </c>
      <c r="I36" s="19">
        <v>70.27</v>
      </c>
      <c r="J36" s="19">
        <v>2261.1</v>
      </c>
      <c r="K36" s="19" t="s">
        <v>34</v>
      </c>
      <c r="L36" s="19" t="s">
        <v>41</v>
      </c>
      <c r="M36" s="19">
        <v>166.25</v>
      </c>
      <c r="N36" s="19">
        <v>642.16</v>
      </c>
      <c r="O36" s="19" t="s">
        <v>42</v>
      </c>
      <c r="P36" s="21">
        <v>27.67</v>
      </c>
    </row>
    <row r="37" spans="1:16" x14ac:dyDescent="0.3">
      <c r="A37" s="17" t="s">
        <v>96</v>
      </c>
      <c r="B37" s="18">
        <v>41732</v>
      </c>
      <c r="C37" s="19">
        <v>2014</v>
      </c>
      <c r="D37" s="20" t="s">
        <v>17</v>
      </c>
      <c r="E37" s="19" t="s">
        <v>18</v>
      </c>
      <c r="F37" s="19" t="s">
        <v>19</v>
      </c>
      <c r="G37" s="19" t="s">
        <v>39</v>
      </c>
      <c r="H37" s="19">
        <v>63.66</v>
      </c>
      <c r="I37" s="19">
        <v>191.69</v>
      </c>
      <c r="J37" s="19">
        <v>3011.13</v>
      </c>
      <c r="K37" s="19" t="s">
        <v>40</v>
      </c>
      <c r="L37" s="19" t="s">
        <v>41</v>
      </c>
      <c r="M37" s="19">
        <v>218.2</v>
      </c>
      <c r="N37" s="19">
        <v>424.64</v>
      </c>
      <c r="O37" s="19" t="s">
        <v>42</v>
      </c>
      <c r="P37" s="21">
        <v>22.21</v>
      </c>
    </row>
    <row r="38" spans="1:16" x14ac:dyDescent="0.3">
      <c r="A38" s="17" t="s">
        <v>97</v>
      </c>
      <c r="B38" s="18">
        <v>44714</v>
      </c>
      <c r="C38" s="19">
        <v>2022</v>
      </c>
      <c r="D38" s="20" t="s">
        <v>36</v>
      </c>
      <c r="E38" s="19" t="s">
        <v>77</v>
      </c>
      <c r="F38" s="19" t="s">
        <v>33</v>
      </c>
      <c r="G38" s="19" t="s">
        <v>46</v>
      </c>
      <c r="H38" s="19">
        <v>42.03</v>
      </c>
      <c r="I38" s="19">
        <v>200.84</v>
      </c>
      <c r="J38" s="19">
        <v>4778.59</v>
      </c>
      <c r="K38" s="19" t="s">
        <v>40</v>
      </c>
      <c r="L38" s="19" t="s">
        <v>22</v>
      </c>
      <c r="M38" s="19">
        <v>229.59</v>
      </c>
      <c r="N38" s="19">
        <v>583.98</v>
      </c>
      <c r="O38" s="19" t="s">
        <v>52</v>
      </c>
      <c r="P38" s="21">
        <v>23.66</v>
      </c>
    </row>
    <row r="39" spans="1:16" x14ac:dyDescent="0.3">
      <c r="A39" s="17" t="s">
        <v>98</v>
      </c>
      <c r="B39" s="18">
        <v>41561</v>
      </c>
      <c r="C39" s="19">
        <v>2013</v>
      </c>
      <c r="D39" s="20" t="s">
        <v>44</v>
      </c>
      <c r="E39" s="19" t="s">
        <v>99</v>
      </c>
      <c r="F39" s="19" t="s">
        <v>33</v>
      </c>
      <c r="G39" s="19" t="s">
        <v>39</v>
      </c>
      <c r="H39" s="19">
        <v>52.28</v>
      </c>
      <c r="I39" s="19">
        <v>68.03</v>
      </c>
      <c r="J39" s="19">
        <v>1301.31</v>
      </c>
      <c r="K39" s="19" t="s">
        <v>40</v>
      </c>
      <c r="L39" s="19" t="s">
        <v>47</v>
      </c>
      <c r="M39" s="19">
        <v>279.37</v>
      </c>
      <c r="N39" s="19">
        <v>321.36</v>
      </c>
      <c r="O39" s="19" t="s">
        <v>42</v>
      </c>
      <c r="P39" s="21">
        <v>32.020000000000003</v>
      </c>
    </row>
    <row r="40" spans="1:16" x14ac:dyDescent="0.3">
      <c r="A40" s="17" t="s">
        <v>100</v>
      </c>
      <c r="B40" s="18">
        <v>44987</v>
      </c>
      <c r="C40" s="19">
        <v>2022</v>
      </c>
      <c r="D40" s="20" t="s">
        <v>59</v>
      </c>
      <c r="E40" s="19" t="s">
        <v>63</v>
      </c>
      <c r="F40" s="19" t="s">
        <v>38</v>
      </c>
      <c r="G40" s="19" t="s">
        <v>27</v>
      </c>
      <c r="H40" s="19">
        <v>81.69</v>
      </c>
      <c r="I40" s="19">
        <v>518.9</v>
      </c>
      <c r="J40" s="19">
        <v>6352.12</v>
      </c>
      <c r="K40" s="19" t="s">
        <v>28</v>
      </c>
      <c r="L40" s="19" t="s">
        <v>29</v>
      </c>
      <c r="M40" s="19">
        <v>257.64</v>
      </c>
      <c r="N40" s="19">
        <v>747.87</v>
      </c>
      <c r="O40" s="19" t="s">
        <v>42</v>
      </c>
      <c r="P40" s="21">
        <v>31.15</v>
      </c>
    </row>
    <row r="41" spans="1:16" x14ac:dyDescent="0.3">
      <c r="A41" s="17" t="s">
        <v>101</v>
      </c>
      <c r="B41" s="18">
        <v>44274</v>
      </c>
      <c r="C41" s="19">
        <v>2020</v>
      </c>
      <c r="D41" s="20" t="s">
        <v>31</v>
      </c>
      <c r="E41" s="19" t="s">
        <v>82</v>
      </c>
      <c r="F41" s="19" t="s">
        <v>38</v>
      </c>
      <c r="G41" s="19" t="s">
        <v>27</v>
      </c>
      <c r="H41" s="19">
        <v>48.98</v>
      </c>
      <c r="I41" s="19">
        <v>119.29</v>
      </c>
      <c r="J41" s="19">
        <v>2435.48</v>
      </c>
      <c r="K41" s="19" t="s">
        <v>28</v>
      </c>
      <c r="L41" s="19" t="s">
        <v>22</v>
      </c>
      <c r="M41" s="19">
        <v>69.37</v>
      </c>
      <c r="N41" s="19">
        <v>485.73</v>
      </c>
      <c r="O41" s="19" t="s">
        <v>70</v>
      </c>
      <c r="P41" s="21">
        <v>25.04</v>
      </c>
    </row>
    <row r="42" spans="1:16" x14ac:dyDescent="0.3">
      <c r="A42" s="17" t="s">
        <v>102</v>
      </c>
      <c r="B42" s="18">
        <v>41686</v>
      </c>
      <c r="C42" s="19">
        <v>2013</v>
      </c>
      <c r="D42" s="20" t="s">
        <v>103</v>
      </c>
      <c r="E42" s="19" t="s">
        <v>104</v>
      </c>
      <c r="F42" s="19" t="s">
        <v>38</v>
      </c>
      <c r="G42" s="19" t="s">
        <v>39</v>
      </c>
      <c r="H42" s="19">
        <v>16.13</v>
      </c>
      <c r="I42" s="19">
        <v>36.840000000000003</v>
      </c>
      <c r="J42" s="19">
        <v>2283.7199999999998</v>
      </c>
      <c r="K42" s="19" t="s">
        <v>28</v>
      </c>
      <c r="L42" s="19" t="s">
        <v>29</v>
      </c>
      <c r="M42" s="19">
        <v>151.9</v>
      </c>
      <c r="N42" s="19">
        <v>742.61</v>
      </c>
      <c r="O42" s="19" t="s">
        <v>52</v>
      </c>
      <c r="P42" s="21">
        <v>20.93</v>
      </c>
    </row>
    <row r="43" spans="1:16" x14ac:dyDescent="0.3">
      <c r="A43" s="17" t="s">
        <v>105</v>
      </c>
      <c r="B43" s="18">
        <v>44487</v>
      </c>
      <c r="C43" s="19">
        <v>2021</v>
      </c>
      <c r="D43" s="20" t="s">
        <v>44</v>
      </c>
      <c r="E43" s="19" t="s">
        <v>67</v>
      </c>
      <c r="F43" s="19" t="s">
        <v>33</v>
      </c>
      <c r="G43" s="19" t="s">
        <v>27</v>
      </c>
      <c r="H43" s="19">
        <v>38.659999999999997</v>
      </c>
      <c r="I43" s="19">
        <v>40.03</v>
      </c>
      <c r="J43" s="19">
        <v>1035.3800000000001</v>
      </c>
      <c r="K43" s="19" t="s">
        <v>34</v>
      </c>
      <c r="L43" s="19" t="s">
        <v>47</v>
      </c>
      <c r="M43" s="19">
        <v>124.65</v>
      </c>
      <c r="N43" s="19">
        <v>589.99</v>
      </c>
      <c r="O43" s="19" t="s">
        <v>52</v>
      </c>
      <c r="P43" s="21">
        <v>28.07</v>
      </c>
    </row>
    <row r="44" spans="1:16" x14ac:dyDescent="0.3">
      <c r="A44" s="17" t="s">
        <v>106</v>
      </c>
      <c r="B44" s="18">
        <v>41715</v>
      </c>
      <c r="C44" s="19">
        <v>2013</v>
      </c>
      <c r="D44" s="20" t="s">
        <v>103</v>
      </c>
      <c r="E44" s="19" t="s">
        <v>107</v>
      </c>
      <c r="F44" s="19" t="s">
        <v>38</v>
      </c>
      <c r="G44" s="19" t="s">
        <v>46</v>
      </c>
      <c r="H44" s="19">
        <v>49.08</v>
      </c>
      <c r="I44" s="19">
        <v>163.59</v>
      </c>
      <c r="J44" s="19">
        <v>3333.14</v>
      </c>
      <c r="K44" s="19" t="s">
        <v>28</v>
      </c>
      <c r="L44" s="19" t="s">
        <v>22</v>
      </c>
      <c r="M44" s="19">
        <v>231.05</v>
      </c>
      <c r="N44" s="19">
        <v>1040.51</v>
      </c>
      <c r="O44" s="19" t="s">
        <v>42</v>
      </c>
      <c r="P44" s="21">
        <v>34.71</v>
      </c>
    </row>
    <row r="45" spans="1:16" x14ac:dyDescent="0.3">
      <c r="A45" s="17" t="s">
        <v>108</v>
      </c>
      <c r="B45" s="18">
        <v>43576</v>
      </c>
      <c r="C45" s="19">
        <v>2019</v>
      </c>
      <c r="D45" s="20" t="s">
        <v>36</v>
      </c>
      <c r="E45" s="19" t="s">
        <v>77</v>
      </c>
      <c r="F45" s="19" t="s">
        <v>19</v>
      </c>
      <c r="G45" s="19" t="s">
        <v>64</v>
      </c>
      <c r="H45" s="19">
        <v>9.31</v>
      </c>
      <c r="I45" s="19">
        <v>33.25</v>
      </c>
      <c r="J45" s="19">
        <v>3571.68</v>
      </c>
      <c r="K45" s="19" t="s">
        <v>28</v>
      </c>
      <c r="L45" s="19" t="s">
        <v>49</v>
      </c>
      <c r="M45" s="19">
        <v>95.43</v>
      </c>
      <c r="N45" s="19">
        <v>460.16</v>
      </c>
      <c r="O45" s="19" t="s">
        <v>70</v>
      </c>
      <c r="P45" s="21">
        <v>23.17</v>
      </c>
    </row>
    <row r="46" spans="1:16" x14ac:dyDescent="0.3">
      <c r="A46" s="17" t="s">
        <v>109</v>
      </c>
      <c r="B46" s="18">
        <v>41954</v>
      </c>
      <c r="C46" s="19">
        <v>2014</v>
      </c>
      <c r="D46" s="20" t="s">
        <v>44</v>
      </c>
      <c r="E46" s="19" t="s">
        <v>99</v>
      </c>
      <c r="F46" s="19" t="s">
        <v>38</v>
      </c>
      <c r="G46" s="19" t="s">
        <v>20</v>
      </c>
      <c r="H46" s="19">
        <v>83.66</v>
      </c>
      <c r="I46" s="19">
        <v>319.74</v>
      </c>
      <c r="J46" s="19">
        <v>3821.84</v>
      </c>
      <c r="K46" s="19" t="s">
        <v>21</v>
      </c>
      <c r="L46" s="19" t="s">
        <v>22</v>
      </c>
      <c r="M46" s="19">
        <v>299.98</v>
      </c>
      <c r="N46" s="19">
        <v>549.96</v>
      </c>
      <c r="O46" s="19" t="s">
        <v>23</v>
      </c>
      <c r="P46" s="21">
        <v>31.72</v>
      </c>
    </row>
    <row r="47" spans="1:16" x14ac:dyDescent="0.3">
      <c r="A47" s="17" t="s">
        <v>110</v>
      </c>
      <c r="B47" s="18">
        <v>40279</v>
      </c>
      <c r="C47" s="19">
        <v>2010</v>
      </c>
      <c r="D47" s="20" t="s">
        <v>103</v>
      </c>
      <c r="E47" s="19" t="s">
        <v>104</v>
      </c>
      <c r="F47" s="19" t="s">
        <v>19</v>
      </c>
      <c r="G47" s="19" t="s">
        <v>56</v>
      </c>
      <c r="H47" s="19">
        <v>24.62</v>
      </c>
      <c r="I47" s="19">
        <v>94.57</v>
      </c>
      <c r="J47" s="19">
        <v>3841.37</v>
      </c>
      <c r="K47" s="19" t="s">
        <v>21</v>
      </c>
      <c r="L47" s="19" t="s">
        <v>47</v>
      </c>
      <c r="M47" s="19">
        <v>190.99</v>
      </c>
      <c r="N47" s="19">
        <v>417.96</v>
      </c>
      <c r="O47" s="19" t="s">
        <v>70</v>
      </c>
      <c r="P47" s="21">
        <v>31.5</v>
      </c>
    </row>
    <row r="48" spans="1:16" x14ac:dyDescent="0.3">
      <c r="A48" s="17" t="s">
        <v>111</v>
      </c>
      <c r="B48" s="18">
        <v>44398</v>
      </c>
      <c r="C48" s="19">
        <v>2021</v>
      </c>
      <c r="D48" s="20" t="s">
        <v>59</v>
      </c>
      <c r="E48" s="19" t="s">
        <v>93</v>
      </c>
      <c r="F48" s="19" t="s">
        <v>33</v>
      </c>
      <c r="G48" s="19" t="s">
        <v>56</v>
      </c>
      <c r="H48" s="19">
        <v>96.51</v>
      </c>
      <c r="I48" s="19">
        <v>159.11000000000001</v>
      </c>
      <c r="J48" s="19">
        <v>1648.59</v>
      </c>
      <c r="K48" s="19" t="s">
        <v>21</v>
      </c>
      <c r="L48" s="19" t="s">
        <v>22</v>
      </c>
      <c r="M48" s="19">
        <v>282.22000000000003</v>
      </c>
      <c r="N48" s="19">
        <v>775.8</v>
      </c>
      <c r="O48" s="19" t="s">
        <v>52</v>
      </c>
      <c r="P48" s="21">
        <v>25.95</v>
      </c>
    </row>
    <row r="49" spans="1:16" x14ac:dyDescent="0.3">
      <c r="A49" s="17" t="s">
        <v>112</v>
      </c>
      <c r="B49" s="18">
        <v>44092</v>
      </c>
      <c r="C49" s="19">
        <v>2020</v>
      </c>
      <c r="D49" s="20" t="s">
        <v>59</v>
      </c>
      <c r="E49" s="19" t="s">
        <v>93</v>
      </c>
      <c r="F49" s="19" t="s">
        <v>33</v>
      </c>
      <c r="G49" s="19" t="s">
        <v>64</v>
      </c>
      <c r="H49" s="19">
        <v>70.02</v>
      </c>
      <c r="I49" s="19">
        <v>196.72</v>
      </c>
      <c r="J49" s="19">
        <v>2809.5</v>
      </c>
      <c r="K49" s="19" t="s">
        <v>21</v>
      </c>
      <c r="L49" s="19" t="s">
        <v>49</v>
      </c>
      <c r="M49" s="19">
        <v>249.06</v>
      </c>
      <c r="N49" s="19">
        <v>765.93</v>
      </c>
      <c r="O49" s="19" t="s">
        <v>23</v>
      </c>
      <c r="P49" s="21">
        <v>25.21</v>
      </c>
    </row>
    <row r="50" spans="1:16" x14ac:dyDescent="0.3">
      <c r="A50" s="17" t="s">
        <v>113</v>
      </c>
      <c r="B50" s="18">
        <v>44247</v>
      </c>
      <c r="C50" s="19">
        <v>2020</v>
      </c>
      <c r="D50" s="20" t="s">
        <v>25</v>
      </c>
      <c r="E50" s="19" t="s">
        <v>69</v>
      </c>
      <c r="F50" s="19" t="s">
        <v>38</v>
      </c>
      <c r="G50" s="19" t="s">
        <v>64</v>
      </c>
      <c r="H50" s="19">
        <v>85.11</v>
      </c>
      <c r="I50" s="19">
        <v>505.04</v>
      </c>
      <c r="J50" s="19">
        <v>5933.99</v>
      </c>
      <c r="K50" s="19" t="s">
        <v>21</v>
      </c>
      <c r="L50" s="19" t="s">
        <v>41</v>
      </c>
      <c r="M50" s="19">
        <v>158.38</v>
      </c>
      <c r="N50" s="19">
        <v>562.19000000000005</v>
      </c>
      <c r="O50" s="19" t="s">
        <v>52</v>
      </c>
      <c r="P50" s="21">
        <v>30.61</v>
      </c>
    </row>
    <row r="51" spans="1:16" x14ac:dyDescent="0.3">
      <c r="A51" s="17" t="s">
        <v>114</v>
      </c>
      <c r="B51" s="18">
        <v>44198</v>
      </c>
      <c r="C51" s="19">
        <v>2020</v>
      </c>
      <c r="D51" s="20" t="s">
        <v>17</v>
      </c>
      <c r="E51" s="19" t="s">
        <v>54</v>
      </c>
      <c r="F51" s="19" t="s">
        <v>38</v>
      </c>
      <c r="G51" s="19" t="s">
        <v>27</v>
      </c>
      <c r="H51" s="19">
        <v>81.010000000000005</v>
      </c>
      <c r="I51" s="19">
        <v>342.59</v>
      </c>
      <c r="J51" s="19">
        <v>4229.04</v>
      </c>
      <c r="K51" s="19" t="s">
        <v>28</v>
      </c>
      <c r="L51" s="19" t="s">
        <v>22</v>
      </c>
      <c r="M51" s="19">
        <v>166.22</v>
      </c>
      <c r="N51" s="19">
        <v>1025.73</v>
      </c>
      <c r="O51" s="19" t="s">
        <v>61</v>
      </c>
      <c r="P51" s="21">
        <v>24.03</v>
      </c>
    </row>
    <row r="52" spans="1:16" x14ac:dyDescent="0.3">
      <c r="A52" s="17" t="s">
        <v>115</v>
      </c>
      <c r="B52" s="18">
        <v>41645</v>
      </c>
      <c r="C52" s="19">
        <v>2013</v>
      </c>
      <c r="D52" s="20" t="s">
        <v>31</v>
      </c>
      <c r="E52" s="19" t="s">
        <v>32</v>
      </c>
      <c r="F52" s="19" t="s">
        <v>38</v>
      </c>
      <c r="G52" s="19" t="s">
        <v>27</v>
      </c>
      <c r="H52" s="19">
        <v>61.42</v>
      </c>
      <c r="I52" s="19">
        <v>201.09</v>
      </c>
      <c r="J52" s="19">
        <v>3273.94</v>
      </c>
      <c r="K52" s="19" t="s">
        <v>21</v>
      </c>
      <c r="L52" s="19" t="s">
        <v>49</v>
      </c>
      <c r="M52" s="19">
        <v>173.58</v>
      </c>
      <c r="N52" s="19">
        <v>525.01</v>
      </c>
      <c r="O52" s="19" t="s">
        <v>52</v>
      </c>
      <c r="P52" s="21">
        <v>23.18</v>
      </c>
    </row>
    <row r="53" spans="1:16" x14ac:dyDescent="0.3">
      <c r="A53" s="17" t="s">
        <v>116</v>
      </c>
      <c r="B53" s="18">
        <v>44622</v>
      </c>
      <c r="C53" s="19">
        <v>2021</v>
      </c>
      <c r="D53" s="20" t="s">
        <v>31</v>
      </c>
      <c r="E53" s="19" t="s">
        <v>117</v>
      </c>
      <c r="F53" s="19" t="s">
        <v>38</v>
      </c>
      <c r="G53" s="19" t="s">
        <v>27</v>
      </c>
      <c r="H53" s="19">
        <v>2</v>
      </c>
      <c r="I53" s="19">
        <v>13.38</v>
      </c>
      <c r="J53" s="19">
        <v>6688.38</v>
      </c>
      <c r="K53" s="19" t="s">
        <v>21</v>
      </c>
      <c r="L53" s="19" t="s">
        <v>29</v>
      </c>
      <c r="M53" s="19">
        <v>110.34</v>
      </c>
      <c r="N53" s="19">
        <v>606.42999999999995</v>
      </c>
      <c r="O53" s="19" t="s">
        <v>61</v>
      </c>
      <c r="P53" s="21">
        <v>31.37</v>
      </c>
    </row>
    <row r="54" spans="1:16" x14ac:dyDescent="0.3">
      <c r="A54" s="17" t="s">
        <v>118</v>
      </c>
      <c r="B54" s="18">
        <v>40988</v>
      </c>
      <c r="C54" s="19">
        <v>2011</v>
      </c>
      <c r="D54" s="20" t="s">
        <v>36</v>
      </c>
      <c r="E54" s="19" t="s">
        <v>37</v>
      </c>
      <c r="F54" s="19" t="s">
        <v>38</v>
      </c>
      <c r="G54" s="19" t="s">
        <v>56</v>
      </c>
      <c r="H54" s="19">
        <v>41.04</v>
      </c>
      <c r="I54" s="19">
        <v>100.95</v>
      </c>
      <c r="J54" s="19">
        <v>2459.83</v>
      </c>
      <c r="K54" s="19" t="s">
        <v>34</v>
      </c>
      <c r="L54" s="19" t="s">
        <v>49</v>
      </c>
      <c r="M54" s="19">
        <v>168.32</v>
      </c>
      <c r="N54" s="19">
        <v>730.92</v>
      </c>
      <c r="O54" s="19" t="s">
        <v>52</v>
      </c>
      <c r="P54" s="21">
        <v>34.950000000000003</v>
      </c>
    </row>
    <row r="55" spans="1:16" x14ac:dyDescent="0.3">
      <c r="A55" s="17" t="s">
        <v>119</v>
      </c>
      <c r="B55" s="18">
        <v>43163</v>
      </c>
      <c r="C55" s="19">
        <v>2017</v>
      </c>
      <c r="D55" s="20" t="s">
        <v>31</v>
      </c>
      <c r="E55" s="19" t="s">
        <v>117</v>
      </c>
      <c r="F55" s="19" t="s">
        <v>38</v>
      </c>
      <c r="G55" s="19" t="s">
        <v>20</v>
      </c>
      <c r="H55" s="19">
        <v>25.89</v>
      </c>
      <c r="I55" s="19">
        <v>44.63</v>
      </c>
      <c r="J55" s="19">
        <v>1723.94</v>
      </c>
      <c r="K55" s="19" t="s">
        <v>40</v>
      </c>
      <c r="L55" s="19" t="s">
        <v>49</v>
      </c>
      <c r="M55" s="19">
        <v>128.88999999999999</v>
      </c>
      <c r="N55" s="19">
        <v>942.88</v>
      </c>
      <c r="O55" s="19" t="s">
        <v>42</v>
      </c>
      <c r="P55" s="21">
        <v>22.87</v>
      </c>
    </row>
    <row r="56" spans="1:16" x14ac:dyDescent="0.3">
      <c r="A56" s="17" t="s">
        <v>120</v>
      </c>
      <c r="B56" s="18">
        <v>44686</v>
      </c>
      <c r="C56" s="19">
        <v>2022</v>
      </c>
      <c r="D56" s="20" t="s">
        <v>17</v>
      </c>
      <c r="E56" s="19" t="s">
        <v>54</v>
      </c>
      <c r="F56" s="19" t="s">
        <v>19</v>
      </c>
      <c r="G56" s="19" t="s">
        <v>27</v>
      </c>
      <c r="H56" s="19">
        <v>29.02</v>
      </c>
      <c r="I56" s="19">
        <v>46.52</v>
      </c>
      <c r="J56" s="19">
        <v>1603.16</v>
      </c>
      <c r="K56" s="19" t="s">
        <v>40</v>
      </c>
      <c r="L56" s="19" t="s">
        <v>41</v>
      </c>
      <c r="M56" s="19">
        <v>124.06</v>
      </c>
      <c r="N56" s="19">
        <v>560.88</v>
      </c>
      <c r="O56" s="19" t="s">
        <v>70</v>
      </c>
      <c r="P56" s="21">
        <v>20.21</v>
      </c>
    </row>
    <row r="57" spans="1:16" x14ac:dyDescent="0.3">
      <c r="A57" s="17" t="s">
        <v>121</v>
      </c>
      <c r="B57" s="18">
        <v>40297</v>
      </c>
      <c r="C57" s="19">
        <v>2010</v>
      </c>
      <c r="D57" s="20" t="s">
        <v>31</v>
      </c>
      <c r="E57" s="19" t="s">
        <v>82</v>
      </c>
      <c r="F57" s="19" t="s">
        <v>19</v>
      </c>
      <c r="G57" s="19" t="s">
        <v>20</v>
      </c>
      <c r="H57" s="19">
        <v>70.040000000000006</v>
      </c>
      <c r="I57" s="19">
        <v>123.11</v>
      </c>
      <c r="J57" s="19">
        <v>1757.68</v>
      </c>
      <c r="K57" s="19" t="s">
        <v>28</v>
      </c>
      <c r="L57" s="19" t="s">
        <v>49</v>
      </c>
      <c r="M57" s="19">
        <v>75.650000000000006</v>
      </c>
      <c r="N57" s="19">
        <v>212.27</v>
      </c>
      <c r="O57" s="19" t="s">
        <v>70</v>
      </c>
      <c r="P57" s="21">
        <v>27.04</v>
      </c>
    </row>
    <row r="58" spans="1:16" x14ac:dyDescent="0.3">
      <c r="A58" s="17" t="s">
        <v>122</v>
      </c>
      <c r="B58" s="18">
        <v>42088</v>
      </c>
      <c r="C58" s="19">
        <v>2014</v>
      </c>
      <c r="D58" s="20" t="s">
        <v>103</v>
      </c>
      <c r="E58" s="19" t="s">
        <v>104</v>
      </c>
      <c r="F58" s="19" t="s">
        <v>38</v>
      </c>
      <c r="G58" s="19" t="s">
        <v>64</v>
      </c>
      <c r="H58" s="19">
        <v>82.39</v>
      </c>
      <c r="I58" s="19">
        <v>280.48</v>
      </c>
      <c r="J58" s="19">
        <v>3404.24</v>
      </c>
      <c r="K58" s="19" t="s">
        <v>21</v>
      </c>
      <c r="L58" s="19" t="s">
        <v>49</v>
      </c>
      <c r="M58" s="19">
        <v>194.26</v>
      </c>
      <c r="N58" s="19">
        <v>886.45</v>
      </c>
      <c r="O58" s="19" t="s">
        <v>42</v>
      </c>
      <c r="P58" s="21">
        <v>22.24</v>
      </c>
    </row>
    <row r="59" spans="1:16" x14ac:dyDescent="0.3">
      <c r="A59" s="17" t="s">
        <v>123</v>
      </c>
      <c r="B59" s="18">
        <v>40671</v>
      </c>
      <c r="C59" s="19">
        <v>2011</v>
      </c>
      <c r="D59" s="20" t="s">
        <v>25</v>
      </c>
      <c r="E59" s="19" t="s">
        <v>26</v>
      </c>
      <c r="F59" s="19" t="s">
        <v>19</v>
      </c>
      <c r="G59" s="19" t="s">
        <v>46</v>
      </c>
      <c r="H59" s="19">
        <v>61.03</v>
      </c>
      <c r="I59" s="19">
        <v>350.58</v>
      </c>
      <c r="J59" s="19">
        <v>5744.44</v>
      </c>
      <c r="K59" s="19" t="s">
        <v>40</v>
      </c>
      <c r="L59" s="19" t="s">
        <v>29</v>
      </c>
      <c r="M59" s="19">
        <v>243.92</v>
      </c>
      <c r="N59" s="19">
        <v>580.38</v>
      </c>
      <c r="O59" s="19" t="s">
        <v>52</v>
      </c>
      <c r="P59" s="21">
        <v>24.46</v>
      </c>
    </row>
    <row r="60" spans="1:16" x14ac:dyDescent="0.3">
      <c r="A60" s="17" t="s">
        <v>124</v>
      </c>
      <c r="B60" s="18">
        <v>43661</v>
      </c>
      <c r="C60" s="19">
        <v>2019</v>
      </c>
      <c r="D60" s="20" t="s">
        <v>31</v>
      </c>
      <c r="E60" s="19" t="s">
        <v>117</v>
      </c>
      <c r="F60" s="19" t="s">
        <v>33</v>
      </c>
      <c r="G60" s="19" t="s">
        <v>27</v>
      </c>
      <c r="H60" s="19">
        <v>96.05</v>
      </c>
      <c r="I60" s="19">
        <v>153.24</v>
      </c>
      <c r="J60" s="19">
        <v>1595.4</v>
      </c>
      <c r="K60" s="19" t="s">
        <v>40</v>
      </c>
      <c r="L60" s="19" t="s">
        <v>47</v>
      </c>
      <c r="M60" s="19">
        <v>206.38</v>
      </c>
      <c r="N60" s="19">
        <v>464.65</v>
      </c>
      <c r="O60" s="19" t="s">
        <v>23</v>
      </c>
      <c r="P60" s="21">
        <v>22.36</v>
      </c>
    </row>
    <row r="61" spans="1:16" x14ac:dyDescent="0.3">
      <c r="A61" s="17" t="s">
        <v>125</v>
      </c>
      <c r="B61" s="18">
        <v>40542</v>
      </c>
      <c r="C61" s="19">
        <v>2010</v>
      </c>
      <c r="D61" s="20" t="s">
        <v>25</v>
      </c>
      <c r="E61" s="19" t="s">
        <v>26</v>
      </c>
      <c r="F61" s="19" t="s">
        <v>38</v>
      </c>
      <c r="G61" s="19" t="s">
        <v>46</v>
      </c>
      <c r="H61" s="19">
        <v>69.25</v>
      </c>
      <c r="I61" s="19">
        <v>264.5</v>
      </c>
      <c r="J61" s="19">
        <v>3819.47</v>
      </c>
      <c r="K61" s="19" t="s">
        <v>21</v>
      </c>
      <c r="L61" s="19" t="s">
        <v>49</v>
      </c>
      <c r="M61" s="19">
        <v>107.87</v>
      </c>
      <c r="N61" s="19">
        <v>906.96</v>
      </c>
      <c r="O61" s="19" t="s">
        <v>52</v>
      </c>
      <c r="P61" s="21">
        <v>21.07</v>
      </c>
    </row>
    <row r="62" spans="1:16" x14ac:dyDescent="0.3">
      <c r="A62" s="17" t="s">
        <v>126</v>
      </c>
      <c r="B62" s="18">
        <v>43606</v>
      </c>
      <c r="C62" s="19">
        <v>2019</v>
      </c>
      <c r="D62" s="20" t="s">
        <v>44</v>
      </c>
      <c r="E62" s="19" t="s">
        <v>67</v>
      </c>
      <c r="F62" s="19" t="s">
        <v>19</v>
      </c>
      <c r="G62" s="19" t="s">
        <v>56</v>
      </c>
      <c r="H62" s="19">
        <v>43.09</v>
      </c>
      <c r="I62" s="19">
        <v>183.88</v>
      </c>
      <c r="J62" s="19">
        <v>4267.37</v>
      </c>
      <c r="K62" s="19" t="s">
        <v>40</v>
      </c>
      <c r="L62" s="19" t="s">
        <v>49</v>
      </c>
      <c r="M62" s="19">
        <v>277.10000000000002</v>
      </c>
      <c r="N62" s="19">
        <v>1026.6300000000001</v>
      </c>
      <c r="O62" s="19" t="s">
        <v>23</v>
      </c>
      <c r="P62" s="21">
        <v>20.89</v>
      </c>
    </row>
    <row r="63" spans="1:16" x14ac:dyDescent="0.3">
      <c r="A63" s="17" t="s">
        <v>127</v>
      </c>
      <c r="B63" s="18">
        <v>43780</v>
      </c>
      <c r="C63" s="19">
        <v>2019</v>
      </c>
      <c r="D63" s="20" t="s">
        <v>59</v>
      </c>
      <c r="E63" s="19" t="s">
        <v>93</v>
      </c>
      <c r="F63" s="19" t="s">
        <v>38</v>
      </c>
      <c r="G63" s="19" t="s">
        <v>46</v>
      </c>
      <c r="H63" s="19">
        <v>13.31</v>
      </c>
      <c r="I63" s="19">
        <v>68.31</v>
      </c>
      <c r="J63" s="19">
        <v>5132.07</v>
      </c>
      <c r="K63" s="19" t="s">
        <v>28</v>
      </c>
      <c r="L63" s="19" t="s">
        <v>29</v>
      </c>
      <c r="M63" s="19">
        <v>285.67</v>
      </c>
      <c r="N63" s="19">
        <v>700.47</v>
      </c>
      <c r="O63" s="19" t="s">
        <v>52</v>
      </c>
      <c r="P63" s="21">
        <v>26.57</v>
      </c>
    </row>
    <row r="64" spans="1:16" x14ac:dyDescent="0.3">
      <c r="A64" s="17" t="s">
        <v>128</v>
      </c>
      <c r="B64" s="18">
        <v>43814</v>
      </c>
      <c r="C64" s="19">
        <v>2019</v>
      </c>
      <c r="D64" s="20" t="s">
        <v>17</v>
      </c>
      <c r="E64" s="19" t="s">
        <v>72</v>
      </c>
      <c r="F64" s="19" t="s">
        <v>38</v>
      </c>
      <c r="G64" s="19" t="s">
        <v>64</v>
      </c>
      <c r="H64" s="19">
        <v>10.039999999999999</v>
      </c>
      <c r="I64" s="19">
        <v>67.989999999999995</v>
      </c>
      <c r="J64" s="19">
        <v>6771.47</v>
      </c>
      <c r="K64" s="19" t="s">
        <v>21</v>
      </c>
      <c r="L64" s="19" t="s">
        <v>29</v>
      </c>
      <c r="M64" s="19">
        <v>299.89</v>
      </c>
      <c r="N64" s="19">
        <v>872.28</v>
      </c>
      <c r="O64" s="19" t="s">
        <v>70</v>
      </c>
      <c r="P64" s="21">
        <v>28.64</v>
      </c>
    </row>
    <row r="65" spans="1:16" x14ac:dyDescent="0.3">
      <c r="A65" s="17" t="s">
        <v>129</v>
      </c>
      <c r="B65" s="18">
        <v>43066</v>
      </c>
      <c r="C65" s="19">
        <v>2017</v>
      </c>
      <c r="D65" s="20" t="s">
        <v>59</v>
      </c>
      <c r="E65" s="19" t="s">
        <v>93</v>
      </c>
      <c r="F65" s="19" t="s">
        <v>38</v>
      </c>
      <c r="G65" s="19" t="s">
        <v>56</v>
      </c>
      <c r="H65" s="19">
        <v>99.7</v>
      </c>
      <c r="I65" s="19">
        <v>360.45</v>
      </c>
      <c r="J65" s="19">
        <v>3615.31</v>
      </c>
      <c r="K65" s="19" t="s">
        <v>28</v>
      </c>
      <c r="L65" s="19" t="s">
        <v>41</v>
      </c>
      <c r="M65" s="19">
        <v>292.26</v>
      </c>
      <c r="N65" s="19">
        <v>670.01</v>
      </c>
      <c r="O65" s="19" t="s">
        <v>52</v>
      </c>
      <c r="P65" s="21">
        <v>25</v>
      </c>
    </row>
    <row r="66" spans="1:16" x14ac:dyDescent="0.3">
      <c r="A66" s="17" t="s">
        <v>130</v>
      </c>
      <c r="B66" s="18">
        <v>44604</v>
      </c>
      <c r="C66" s="19">
        <v>2021</v>
      </c>
      <c r="D66" s="20" t="s">
        <v>31</v>
      </c>
      <c r="E66" s="19" t="s">
        <v>32</v>
      </c>
      <c r="F66" s="19" t="s">
        <v>38</v>
      </c>
      <c r="G66" s="19" t="s">
        <v>20</v>
      </c>
      <c r="H66" s="19">
        <v>66.599999999999994</v>
      </c>
      <c r="I66" s="19">
        <v>226.62</v>
      </c>
      <c r="J66" s="19">
        <v>3402.71</v>
      </c>
      <c r="K66" s="19" t="s">
        <v>21</v>
      </c>
      <c r="L66" s="19" t="s">
        <v>47</v>
      </c>
      <c r="M66" s="19">
        <v>163.71</v>
      </c>
      <c r="N66" s="19">
        <v>514.52</v>
      </c>
      <c r="O66" s="19" t="s">
        <v>70</v>
      </c>
      <c r="P66" s="21">
        <v>21.74</v>
      </c>
    </row>
    <row r="67" spans="1:16" x14ac:dyDescent="0.3">
      <c r="A67" s="17" t="s">
        <v>131</v>
      </c>
      <c r="B67" s="18">
        <v>43935</v>
      </c>
      <c r="C67" s="19">
        <v>2020</v>
      </c>
      <c r="D67" s="20" t="s">
        <v>44</v>
      </c>
      <c r="E67" s="19" t="s">
        <v>45</v>
      </c>
      <c r="F67" s="19" t="s">
        <v>19</v>
      </c>
      <c r="G67" s="19" t="s">
        <v>46</v>
      </c>
      <c r="H67" s="19">
        <v>41.91</v>
      </c>
      <c r="I67" s="19">
        <v>89.08</v>
      </c>
      <c r="J67" s="19">
        <v>2125.5</v>
      </c>
      <c r="K67" s="19" t="s">
        <v>34</v>
      </c>
      <c r="L67" s="19" t="s">
        <v>49</v>
      </c>
      <c r="M67" s="19">
        <v>205.66</v>
      </c>
      <c r="N67" s="19">
        <v>698.49</v>
      </c>
      <c r="O67" s="19" t="s">
        <v>52</v>
      </c>
      <c r="P67" s="21">
        <v>31.4</v>
      </c>
    </row>
    <row r="68" spans="1:16" x14ac:dyDescent="0.3">
      <c r="A68" s="17" t="s">
        <v>132</v>
      </c>
      <c r="B68" s="18">
        <v>41967</v>
      </c>
      <c r="C68" s="19">
        <v>2014</v>
      </c>
      <c r="D68" s="20" t="s">
        <v>59</v>
      </c>
      <c r="E68" s="19" t="s">
        <v>60</v>
      </c>
      <c r="F68" s="19" t="s">
        <v>38</v>
      </c>
      <c r="G68" s="19" t="s">
        <v>39</v>
      </c>
      <c r="H68" s="19">
        <v>48.99</v>
      </c>
      <c r="I68" s="19">
        <v>57.48</v>
      </c>
      <c r="J68" s="19">
        <v>1173.22</v>
      </c>
      <c r="K68" s="19" t="s">
        <v>40</v>
      </c>
      <c r="L68" s="19" t="s">
        <v>41</v>
      </c>
      <c r="M68" s="19">
        <v>227.45</v>
      </c>
      <c r="N68" s="19">
        <v>510.75</v>
      </c>
      <c r="O68" s="19" t="s">
        <v>23</v>
      </c>
      <c r="P68" s="21">
        <v>28.28</v>
      </c>
    </row>
    <row r="69" spans="1:16" x14ac:dyDescent="0.3">
      <c r="A69" s="17" t="s">
        <v>133</v>
      </c>
      <c r="B69" s="18">
        <v>42949</v>
      </c>
      <c r="C69" s="19">
        <v>2017</v>
      </c>
      <c r="D69" s="20" t="s">
        <v>44</v>
      </c>
      <c r="E69" s="19" t="s">
        <v>45</v>
      </c>
      <c r="F69" s="19" t="s">
        <v>33</v>
      </c>
      <c r="G69" s="19" t="s">
        <v>39</v>
      </c>
      <c r="H69" s="19">
        <v>83.38</v>
      </c>
      <c r="I69" s="19">
        <v>332.71</v>
      </c>
      <c r="J69" s="19">
        <v>3990.25</v>
      </c>
      <c r="K69" s="19" t="s">
        <v>34</v>
      </c>
      <c r="L69" s="19" t="s">
        <v>29</v>
      </c>
      <c r="M69" s="19">
        <v>177.22</v>
      </c>
      <c r="N69" s="19">
        <v>473.42</v>
      </c>
      <c r="O69" s="19" t="s">
        <v>52</v>
      </c>
      <c r="P69" s="21">
        <v>34.700000000000003</v>
      </c>
    </row>
    <row r="70" spans="1:16" x14ac:dyDescent="0.3">
      <c r="A70" s="17" t="s">
        <v>134</v>
      </c>
      <c r="B70" s="18">
        <v>42651</v>
      </c>
      <c r="C70" s="19">
        <v>2016</v>
      </c>
      <c r="D70" s="20" t="s">
        <v>59</v>
      </c>
      <c r="E70" s="19" t="s">
        <v>60</v>
      </c>
      <c r="F70" s="19" t="s">
        <v>33</v>
      </c>
      <c r="G70" s="19" t="s">
        <v>27</v>
      </c>
      <c r="H70" s="19">
        <v>51.32</v>
      </c>
      <c r="I70" s="19">
        <v>322.08</v>
      </c>
      <c r="J70" s="19">
        <v>6275.96</v>
      </c>
      <c r="K70" s="19" t="s">
        <v>21</v>
      </c>
      <c r="L70" s="19" t="s">
        <v>49</v>
      </c>
      <c r="M70" s="19">
        <v>119.06</v>
      </c>
      <c r="N70" s="19">
        <v>990.01</v>
      </c>
      <c r="O70" s="19" t="s">
        <v>52</v>
      </c>
      <c r="P70" s="21">
        <v>25.1</v>
      </c>
    </row>
    <row r="71" spans="1:16" x14ac:dyDescent="0.3">
      <c r="A71" s="17" t="s">
        <v>135</v>
      </c>
      <c r="B71" s="18">
        <v>41765</v>
      </c>
      <c r="C71" s="19">
        <v>2014</v>
      </c>
      <c r="D71" s="20" t="s">
        <v>44</v>
      </c>
      <c r="E71" s="19" t="s">
        <v>45</v>
      </c>
      <c r="F71" s="19" t="s">
        <v>19</v>
      </c>
      <c r="G71" s="19" t="s">
        <v>20</v>
      </c>
      <c r="H71" s="19">
        <v>83.91</v>
      </c>
      <c r="I71" s="19">
        <v>375.88</v>
      </c>
      <c r="J71" s="19">
        <v>4479.54</v>
      </c>
      <c r="K71" s="19" t="s">
        <v>28</v>
      </c>
      <c r="L71" s="19" t="s">
        <v>47</v>
      </c>
      <c r="M71" s="19">
        <v>266.32</v>
      </c>
      <c r="N71" s="19">
        <v>646.54999999999995</v>
      </c>
      <c r="O71" s="19" t="s">
        <v>52</v>
      </c>
      <c r="P71" s="21">
        <v>25.18</v>
      </c>
    </row>
    <row r="72" spans="1:16" x14ac:dyDescent="0.3">
      <c r="A72" s="17" t="s">
        <v>136</v>
      </c>
      <c r="B72" s="18">
        <v>42194</v>
      </c>
      <c r="C72" s="19">
        <v>2015</v>
      </c>
      <c r="D72" s="20" t="s">
        <v>36</v>
      </c>
      <c r="E72" s="19" t="s">
        <v>51</v>
      </c>
      <c r="F72" s="19" t="s">
        <v>33</v>
      </c>
      <c r="G72" s="19" t="s">
        <v>39</v>
      </c>
      <c r="H72" s="19">
        <v>24.64</v>
      </c>
      <c r="I72" s="19">
        <v>81.260000000000005</v>
      </c>
      <c r="J72" s="19">
        <v>3297.83</v>
      </c>
      <c r="K72" s="19" t="s">
        <v>28</v>
      </c>
      <c r="L72" s="19" t="s">
        <v>29</v>
      </c>
      <c r="M72" s="19">
        <v>60.91</v>
      </c>
      <c r="N72" s="19">
        <v>944.71</v>
      </c>
      <c r="O72" s="19" t="s">
        <v>52</v>
      </c>
      <c r="P72" s="21">
        <v>25.79</v>
      </c>
    </row>
    <row r="73" spans="1:16" x14ac:dyDescent="0.3">
      <c r="A73" s="17" t="s">
        <v>137</v>
      </c>
      <c r="B73" s="18">
        <v>43217</v>
      </c>
      <c r="C73" s="19">
        <v>2018</v>
      </c>
      <c r="D73" s="20" t="s">
        <v>25</v>
      </c>
      <c r="E73" s="19" t="s">
        <v>26</v>
      </c>
      <c r="F73" s="19" t="s">
        <v>19</v>
      </c>
      <c r="G73" s="19" t="s">
        <v>20</v>
      </c>
      <c r="H73" s="19">
        <v>87.1</v>
      </c>
      <c r="I73" s="19">
        <v>543.95000000000005</v>
      </c>
      <c r="J73" s="19">
        <v>6245.14</v>
      </c>
      <c r="K73" s="19" t="s">
        <v>28</v>
      </c>
      <c r="L73" s="19" t="s">
        <v>41</v>
      </c>
      <c r="M73" s="19">
        <v>74.930000000000007</v>
      </c>
      <c r="N73" s="19">
        <v>1110.44</v>
      </c>
      <c r="O73" s="19" t="s">
        <v>23</v>
      </c>
      <c r="P73" s="21">
        <v>30.84</v>
      </c>
    </row>
    <row r="74" spans="1:16" x14ac:dyDescent="0.3">
      <c r="A74" s="17" t="s">
        <v>138</v>
      </c>
      <c r="B74" s="18">
        <v>44947</v>
      </c>
      <c r="C74" s="19">
        <v>2022</v>
      </c>
      <c r="D74" s="20" t="s">
        <v>25</v>
      </c>
      <c r="E74" s="19" t="s">
        <v>87</v>
      </c>
      <c r="F74" s="19" t="s">
        <v>38</v>
      </c>
      <c r="G74" s="19" t="s">
        <v>20</v>
      </c>
      <c r="H74" s="19">
        <v>62.7</v>
      </c>
      <c r="I74" s="19">
        <v>212.23</v>
      </c>
      <c r="J74" s="19">
        <v>3384.9</v>
      </c>
      <c r="K74" s="19" t="s">
        <v>21</v>
      </c>
      <c r="L74" s="19" t="s">
        <v>29</v>
      </c>
      <c r="M74" s="19">
        <v>262.94</v>
      </c>
      <c r="N74" s="19">
        <v>1052.3399999999999</v>
      </c>
      <c r="O74" s="19" t="s">
        <v>61</v>
      </c>
      <c r="P74" s="21">
        <v>25.7</v>
      </c>
    </row>
    <row r="75" spans="1:16" x14ac:dyDescent="0.3">
      <c r="A75" s="17" t="s">
        <v>139</v>
      </c>
      <c r="B75" s="18">
        <v>40317</v>
      </c>
      <c r="C75" s="19">
        <v>2010</v>
      </c>
      <c r="D75" s="20" t="s">
        <v>44</v>
      </c>
      <c r="E75" s="19" t="s">
        <v>67</v>
      </c>
      <c r="F75" s="19" t="s">
        <v>19</v>
      </c>
      <c r="G75" s="19" t="s">
        <v>64</v>
      </c>
      <c r="H75" s="19">
        <v>24.24</v>
      </c>
      <c r="I75" s="19">
        <v>123.78</v>
      </c>
      <c r="J75" s="19">
        <v>5106.3999999999996</v>
      </c>
      <c r="K75" s="19" t="s">
        <v>34</v>
      </c>
      <c r="L75" s="19" t="s">
        <v>22</v>
      </c>
      <c r="M75" s="19">
        <v>299.36</v>
      </c>
      <c r="N75" s="19">
        <v>946.77</v>
      </c>
      <c r="O75" s="19" t="s">
        <v>52</v>
      </c>
      <c r="P75" s="21">
        <v>34.68</v>
      </c>
    </row>
    <row r="76" spans="1:16" x14ac:dyDescent="0.3">
      <c r="A76" s="17" t="s">
        <v>140</v>
      </c>
      <c r="B76" s="18">
        <v>44645</v>
      </c>
      <c r="C76" s="19">
        <v>2021</v>
      </c>
      <c r="D76" s="20" t="s">
        <v>36</v>
      </c>
      <c r="E76" s="19" t="s">
        <v>37</v>
      </c>
      <c r="F76" s="19" t="s">
        <v>38</v>
      </c>
      <c r="G76" s="19" t="s">
        <v>64</v>
      </c>
      <c r="H76" s="19">
        <v>5.55</v>
      </c>
      <c r="I76" s="19">
        <v>32.06</v>
      </c>
      <c r="J76" s="19">
        <v>5776.86</v>
      </c>
      <c r="K76" s="19" t="s">
        <v>34</v>
      </c>
      <c r="L76" s="19" t="s">
        <v>41</v>
      </c>
      <c r="M76" s="19">
        <v>139.62</v>
      </c>
      <c r="N76" s="19">
        <v>630.69000000000005</v>
      </c>
      <c r="O76" s="19" t="s">
        <v>42</v>
      </c>
      <c r="P76" s="21">
        <v>27.97</v>
      </c>
    </row>
    <row r="77" spans="1:16" x14ac:dyDescent="0.3">
      <c r="A77" s="17" t="s">
        <v>141</v>
      </c>
      <c r="B77" s="18">
        <v>40634</v>
      </c>
      <c r="C77" s="19">
        <v>2011</v>
      </c>
      <c r="D77" s="20" t="s">
        <v>103</v>
      </c>
      <c r="E77" s="19" t="s">
        <v>104</v>
      </c>
      <c r="F77" s="19" t="s">
        <v>19</v>
      </c>
      <c r="G77" s="19" t="s">
        <v>46</v>
      </c>
      <c r="H77" s="19">
        <v>62.35</v>
      </c>
      <c r="I77" s="19">
        <v>152.44</v>
      </c>
      <c r="J77" s="19">
        <v>2444.98</v>
      </c>
      <c r="K77" s="19" t="s">
        <v>40</v>
      </c>
      <c r="L77" s="19" t="s">
        <v>29</v>
      </c>
      <c r="M77" s="19">
        <v>108.05</v>
      </c>
      <c r="N77" s="19">
        <v>837.9</v>
      </c>
      <c r="O77" s="19" t="s">
        <v>52</v>
      </c>
      <c r="P77" s="21">
        <v>23.83</v>
      </c>
    </row>
    <row r="78" spans="1:16" x14ac:dyDescent="0.3">
      <c r="A78" s="17" t="s">
        <v>142</v>
      </c>
      <c r="B78" s="18">
        <v>43329</v>
      </c>
      <c r="C78" s="19">
        <v>2018</v>
      </c>
      <c r="D78" s="20" t="s">
        <v>31</v>
      </c>
      <c r="E78" s="19" t="s">
        <v>117</v>
      </c>
      <c r="F78" s="19" t="s">
        <v>33</v>
      </c>
      <c r="G78" s="19" t="s">
        <v>64</v>
      </c>
      <c r="H78" s="19">
        <v>44.73</v>
      </c>
      <c r="I78" s="19">
        <v>137.47</v>
      </c>
      <c r="J78" s="19">
        <v>3073.39</v>
      </c>
      <c r="K78" s="19" t="s">
        <v>34</v>
      </c>
      <c r="L78" s="19" t="s">
        <v>41</v>
      </c>
      <c r="M78" s="19">
        <v>209.73</v>
      </c>
      <c r="N78" s="19">
        <v>624.30999999999995</v>
      </c>
      <c r="O78" s="19" t="s">
        <v>70</v>
      </c>
      <c r="P78" s="21">
        <v>26.85</v>
      </c>
    </row>
    <row r="79" spans="1:16" x14ac:dyDescent="0.3">
      <c r="A79" s="17" t="s">
        <v>143</v>
      </c>
      <c r="B79" s="18">
        <v>40839</v>
      </c>
      <c r="C79" s="19">
        <v>2011</v>
      </c>
      <c r="D79" s="20" t="s">
        <v>36</v>
      </c>
      <c r="E79" s="19" t="s">
        <v>51</v>
      </c>
      <c r="F79" s="19" t="s">
        <v>33</v>
      </c>
      <c r="G79" s="19" t="s">
        <v>46</v>
      </c>
      <c r="H79" s="19">
        <v>57.62</v>
      </c>
      <c r="I79" s="19">
        <v>256.33999999999997</v>
      </c>
      <c r="J79" s="19">
        <v>4448.87</v>
      </c>
      <c r="K79" s="19" t="s">
        <v>34</v>
      </c>
      <c r="L79" s="19" t="s">
        <v>22</v>
      </c>
      <c r="M79" s="19">
        <v>55.48</v>
      </c>
      <c r="N79" s="19">
        <v>1030.04</v>
      </c>
      <c r="O79" s="19" t="s">
        <v>52</v>
      </c>
      <c r="P79" s="21">
        <v>24.12</v>
      </c>
    </row>
    <row r="80" spans="1:16" x14ac:dyDescent="0.3">
      <c r="A80" s="17" t="s">
        <v>144</v>
      </c>
      <c r="B80" s="18">
        <v>43050</v>
      </c>
      <c r="C80" s="19">
        <v>2017</v>
      </c>
      <c r="D80" s="20" t="s">
        <v>59</v>
      </c>
      <c r="E80" s="19" t="s">
        <v>93</v>
      </c>
      <c r="F80" s="19" t="s">
        <v>38</v>
      </c>
      <c r="G80" s="19" t="s">
        <v>56</v>
      </c>
      <c r="H80" s="19">
        <v>61.1</v>
      </c>
      <c r="I80" s="19">
        <v>190.26</v>
      </c>
      <c r="J80" s="19">
        <v>3113.93</v>
      </c>
      <c r="K80" s="19" t="s">
        <v>40</v>
      </c>
      <c r="L80" s="19" t="s">
        <v>49</v>
      </c>
      <c r="M80" s="19">
        <v>205.22</v>
      </c>
      <c r="N80" s="19">
        <v>877.76</v>
      </c>
      <c r="O80" s="19" t="s">
        <v>42</v>
      </c>
      <c r="P80" s="21">
        <v>29.42</v>
      </c>
    </row>
    <row r="81" spans="1:16" x14ac:dyDescent="0.3">
      <c r="A81" s="17" t="s">
        <v>145</v>
      </c>
      <c r="B81" s="18">
        <v>40303</v>
      </c>
      <c r="C81" s="19">
        <v>2010</v>
      </c>
      <c r="D81" s="20" t="s">
        <v>44</v>
      </c>
      <c r="E81" s="19" t="s">
        <v>99</v>
      </c>
      <c r="F81" s="19" t="s">
        <v>19</v>
      </c>
      <c r="G81" s="19" t="s">
        <v>20</v>
      </c>
      <c r="H81" s="19">
        <v>73.5</v>
      </c>
      <c r="I81" s="19">
        <v>113.25</v>
      </c>
      <c r="J81" s="19">
        <v>1540.8</v>
      </c>
      <c r="K81" s="19" t="s">
        <v>34</v>
      </c>
      <c r="L81" s="19" t="s">
        <v>49</v>
      </c>
      <c r="M81" s="19">
        <v>131.68</v>
      </c>
      <c r="N81" s="19">
        <v>615.5</v>
      </c>
      <c r="O81" s="19" t="s">
        <v>42</v>
      </c>
      <c r="P81" s="21">
        <v>21.98</v>
      </c>
    </row>
    <row r="82" spans="1:16" x14ac:dyDescent="0.3">
      <c r="A82" s="17" t="s">
        <v>146</v>
      </c>
      <c r="B82" s="18">
        <v>41810</v>
      </c>
      <c r="C82" s="19">
        <v>2014</v>
      </c>
      <c r="D82" s="20" t="s">
        <v>59</v>
      </c>
      <c r="E82" s="19" t="s">
        <v>93</v>
      </c>
      <c r="F82" s="19" t="s">
        <v>33</v>
      </c>
      <c r="G82" s="19" t="s">
        <v>20</v>
      </c>
      <c r="H82" s="19">
        <v>91.49</v>
      </c>
      <c r="I82" s="19">
        <v>609.79</v>
      </c>
      <c r="J82" s="19">
        <v>6665.13</v>
      </c>
      <c r="K82" s="19" t="s">
        <v>34</v>
      </c>
      <c r="L82" s="19" t="s">
        <v>41</v>
      </c>
      <c r="M82" s="19">
        <v>236.64</v>
      </c>
      <c r="N82" s="19">
        <v>538.72</v>
      </c>
      <c r="O82" s="19" t="s">
        <v>23</v>
      </c>
      <c r="P82" s="21">
        <v>27.02</v>
      </c>
    </row>
    <row r="83" spans="1:16" x14ac:dyDescent="0.3">
      <c r="A83" s="17" t="s">
        <v>147</v>
      </c>
      <c r="B83" s="18">
        <v>43951</v>
      </c>
      <c r="C83" s="19">
        <v>2020</v>
      </c>
      <c r="D83" s="20" t="s">
        <v>44</v>
      </c>
      <c r="E83" s="19" t="s">
        <v>45</v>
      </c>
      <c r="F83" s="19" t="s">
        <v>19</v>
      </c>
      <c r="G83" s="19" t="s">
        <v>39</v>
      </c>
      <c r="H83" s="19">
        <v>98.01</v>
      </c>
      <c r="I83" s="19">
        <v>666.82</v>
      </c>
      <c r="J83" s="19">
        <v>6803.62</v>
      </c>
      <c r="K83" s="19" t="s">
        <v>34</v>
      </c>
      <c r="L83" s="19" t="s">
        <v>49</v>
      </c>
      <c r="M83" s="19">
        <v>72.58</v>
      </c>
      <c r="N83" s="19">
        <v>594.57000000000005</v>
      </c>
      <c r="O83" s="19" t="s">
        <v>70</v>
      </c>
      <c r="P83" s="21">
        <v>28.05</v>
      </c>
    </row>
    <row r="84" spans="1:16" x14ac:dyDescent="0.3">
      <c r="A84" s="17" t="s">
        <v>148</v>
      </c>
      <c r="B84" s="18">
        <v>44279</v>
      </c>
      <c r="C84" s="19">
        <v>2020</v>
      </c>
      <c r="D84" s="20" t="s">
        <v>17</v>
      </c>
      <c r="E84" s="19" t="s">
        <v>54</v>
      </c>
      <c r="F84" s="19" t="s">
        <v>38</v>
      </c>
      <c r="G84" s="19" t="s">
        <v>27</v>
      </c>
      <c r="H84" s="19">
        <v>38.72</v>
      </c>
      <c r="I84" s="19">
        <v>187.07</v>
      </c>
      <c r="J84" s="19">
        <v>4831.3</v>
      </c>
      <c r="K84" s="19" t="s">
        <v>34</v>
      </c>
      <c r="L84" s="19" t="s">
        <v>49</v>
      </c>
      <c r="M84" s="19">
        <v>77.09</v>
      </c>
      <c r="N84" s="19">
        <v>433.82</v>
      </c>
      <c r="O84" s="19" t="s">
        <v>23</v>
      </c>
      <c r="P84" s="21">
        <v>29.29</v>
      </c>
    </row>
    <row r="85" spans="1:16" x14ac:dyDescent="0.3">
      <c r="A85" s="17" t="s">
        <v>149</v>
      </c>
      <c r="B85" s="18">
        <v>44060</v>
      </c>
      <c r="C85" s="19">
        <v>2020</v>
      </c>
      <c r="D85" s="20" t="s">
        <v>59</v>
      </c>
      <c r="E85" s="19" t="s">
        <v>60</v>
      </c>
      <c r="F85" s="19" t="s">
        <v>33</v>
      </c>
      <c r="G85" s="19" t="s">
        <v>39</v>
      </c>
      <c r="H85" s="19">
        <v>82.56</v>
      </c>
      <c r="I85" s="19">
        <v>533.03</v>
      </c>
      <c r="J85" s="19">
        <v>6456.33</v>
      </c>
      <c r="K85" s="19" t="s">
        <v>34</v>
      </c>
      <c r="L85" s="19" t="s">
        <v>29</v>
      </c>
      <c r="M85" s="19">
        <v>212.31</v>
      </c>
      <c r="N85" s="19">
        <v>316.68</v>
      </c>
      <c r="O85" s="19" t="s">
        <v>23</v>
      </c>
      <c r="P85" s="21">
        <v>34.19</v>
      </c>
    </row>
    <row r="86" spans="1:16" x14ac:dyDescent="0.3">
      <c r="A86" s="17" t="s">
        <v>150</v>
      </c>
      <c r="B86" s="18">
        <v>41418</v>
      </c>
      <c r="C86" s="19">
        <v>2013</v>
      </c>
      <c r="D86" s="20" t="s">
        <v>25</v>
      </c>
      <c r="E86" s="19" t="s">
        <v>26</v>
      </c>
      <c r="F86" s="19" t="s">
        <v>19</v>
      </c>
      <c r="G86" s="19" t="s">
        <v>56</v>
      </c>
      <c r="H86" s="19">
        <v>39.479999999999997</v>
      </c>
      <c r="I86" s="19">
        <v>127.37</v>
      </c>
      <c r="J86" s="19">
        <v>3226.07</v>
      </c>
      <c r="K86" s="19" t="s">
        <v>28</v>
      </c>
      <c r="L86" s="19" t="s">
        <v>29</v>
      </c>
      <c r="M86" s="19">
        <v>196.84</v>
      </c>
      <c r="N86" s="19">
        <v>926.6</v>
      </c>
      <c r="O86" s="19" t="s">
        <v>52</v>
      </c>
      <c r="P86" s="21">
        <v>29.82</v>
      </c>
    </row>
    <row r="87" spans="1:16" x14ac:dyDescent="0.3">
      <c r="A87" s="17" t="s">
        <v>151</v>
      </c>
      <c r="B87" s="18">
        <v>41882</v>
      </c>
      <c r="C87" s="19">
        <v>2014</v>
      </c>
      <c r="D87" s="20" t="s">
        <v>59</v>
      </c>
      <c r="E87" s="19" t="s">
        <v>63</v>
      </c>
      <c r="F87" s="19" t="s">
        <v>33</v>
      </c>
      <c r="G87" s="19" t="s">
        <v>39</v>
      </c>
      <c r="H87" s="19">
        <v>37.68</v>
      </c>
      <c r="I87" s="19">
        <v>137.91999999999999</v>
      </c>
      <c r="J87" s="19">
        <v>3660.3</v>
      </c>
      <c r="K87" s="19" t="s">
        <v>40</v>
      </c>
      <c r="L87" s="19" t="s">
        <v>22</v>
      </c>
      <c r="M87" s="19">
        <v>263.86</v>
      </c>
      <c r="N87" s="19">
        <v>299.35000000000002</v>
      </c>
      <c r="O87" s="19" t="s">
        <v>70</v>
      </c>
      <c r="P87" s="21">
        <v>28.17</v>
      </c>
    </row>
    <row r="88" spans="1:16" x14ac:dyDescent="0.3">
      <c r="A88" s="17" t="s">
        <v>152</v>
      </c>
      <c r="B88" s="18">
        <v>41478</v>
      </c>
      <c r="C88" s="19">
        <v>2013</v>
      </c>
      <c r="D88" s="20" t="s">
        <v>36</v>
      </c>
      <c r="E88" s="19" t="s">
        <v>51</v>
      </c>
      <c r="F88" s="19" t="s">
        <v>33</v>
      </c>
      <c r="G88" s="19" t="s">
        <v>46</v>
      </c>
      <c r="H88" s="19">
        <v>10.08</v>
      </c>
      <c r="I88" s="19">
        <v>22.91</v>
      </c>
      <c r="J88" s="19">
        <v>2272.63</v>
      </c>
      <c r="K88" s="19" t="s">
        <v>21</v>
      </c>
      <c r="L88" s="19" t="s">
        <v>22</v>
      </c>
      <c r="M88" s="19">
        <v>62.64</v>
      </c>
      <c r="N88" s="19">
        <v>533.51</v>
      </c>
      <c r="O88" s="19" t="s">
        <v>42</v>
      </c>
      <c r="P88" s="21">
        <v>31.8</v>
      </c>
    </row>
    <row r="89" spans="1:16" x14ac:dyDescent="0.3">
      <c r="A89" s="17" t="s">
        <v>153</v>
      </c>
      <c r="B89" s="18">
        <v>41374</v>
      </c>
      <c r="C89" s="19">
        <v>2013</v>
      </c>
      <c r="D89" s="20" t="s">
        <v>44</v>
      </c>
      <c r="E89" s="19" t="s">
        <v>67</v>
      </c>
      <c r="F89" s="19" t="s">
        <v>19</v>
      </c>
      <c r="G89" s="19" t="s">
        <v>56</v>
      </c>
      <c r="H89" s="19">
        <v>81.489999999999995</v>
      </c>
      <c r="I89" s="19">
        <v>195.41</v>
      </c>
      <c r="J89" s="19">
        <v>2397.9899999999998</v>
      </c>
      <c r="K89" s="19" t="s">
        <v>40</v>
      </c>
      <c r="L89" s="19" t="s">
        <v>41</v>
      </c>
      <c r="M89" s="19">
        <v>247.16</v>
      </c>
      <c r="N89" s="19">
        <v>795.98</v>
      </c>
      <c r="O89" s="19" t="s">
        <v>70</v>
      </c>
      <c r="P89" s="21">
        <v>32.880000000000003</v>
      </c>
    </row>
    <row r="90" spans="1:16" x14ac:dyDescent="0.3">
      <c r="A90" s="17" t="s">
        <v>154</v>
      </c>
      <c r="B90" s="18">
        <v>44757</v>
      </c>
      <c r="C90" s="19">
        <v>2022</v>
      </c>
      <c r="D90" s="20" t="s">
        <v>59</v>
      </c>
      <c r="E90" s="19" t="s">
        <v>63</v>
      </c>
      <c r="F90" s="19" t="s">
        <v>33</v>
      </c>
      <c r="G90" s="19" t="s">
        <v>64</v>
      </c>
      <c r="H90" s="19">
        <v>66.44</v>
      </c>
      <c r="I90" s="19">
        <v>76.72</v>
      </c>
      <c r="J90" s="19">
        <v>1154.68</v>
      </c>
      <c r="K90" s="19" t="s">
        <v>21</v>
      </c>
      <c r="L90" s="19" t="s">
        <v>49</v>
      </c>
      <c r="M90" s="19">
        <v>139.56</v>
      </c>
      <c r="N90" s="19">
        <v>988.43</v>
      </c>
      <c r="O90" s="19" t="s">
        <v>61</v>
      </c>
      <c r="P90" s="21">
        <v>24.86</v>
      </c>
    </row>
    <row r="91" spans="1:16" x14ac:dyDescent="0.3">
      <c r="A91" s="17" t="s">
        <v>155</v>
      </c>
      <c r="B91" s="18">
        <v>44557</v>
      </c>
      <c r="C91" s="19">
        <v>2021</v>
      </c>
      <c r="D91" s="20" t="s">
        <v>25</v>
      </c>
      <c r="E91" s="19" t="s">
        <v>26</v>
      </c>
      <c r="F91" s="19" t="s">
        <v>38</v>
      </c>
      <c r="G91" s="19" t="s">
        <v>27</v>
      </c>
      <c r="H91" s="19">
        <v>12.25</v>
      </c>
      <c r="I91" s="19">
        <v>16.920000000000002</v>
      </c>
      <c r="J91" s="19">
        <v>1381.35</v>
      </c>
      <c r="K91" s="19" t="s">
        <v>28</v>
      </c>
      <c r="L91" s="19" t="s">
        <v>47</v>
      </c>
      <c r="M91" s="19">
        <v>244.5</v>
      </c>
      <c r="N91" s="19">
        <v>713.24</v>
      </c>
      <c r="O91" s="19" t="s">
        <v>23</v>
      </c>
      <c r="P91" s="21">
        <v>26.78</v>
      </c>
    </row>
    <row r="92" spans="1:16" x14ac:dyDescent="0.3">
      <c r="A92" s="17" t="s">
        <v>156</v>
      </c>
      <c r="B92" s="18">
        <v>44658</v>
      </c>
      <c r="C92" s="19">
        <v>2022</v>
      </c>
      <c r="D92" s="20" t="s">
        <v>25</v>
      </c>
      <c r="E92" s="19" t="s">
        <v>69</v>
      </c>
      <c r="F92" s="19" t="s">
        <v>19</v>
      </c>
      <c r="G92" s="19" t="s">
        <v>27</v>
      </c>
      <c r="H92" s="19">
        <v>30.86</v>
      </c>
      <c r="I92" s="19">
        <v>149.97999999999999</v>
      </c>
      <c r="J92" s="19">
        <v>4860.04</v>
      </c>
      <c r="K92" s="19" t="s">
        <v>21</v>
      </c>
      <c r="L92" s="19" t="s">
        <v>29</v>
      </c>
      <c r="M92" s="19">
        <v>65.209999999999994</v>
      </c>
      <c r="N92" s="19">
        <v>678.98</v>
      </c>
      <c r="O92" s="19" t="s">
        <v>52</v>
      </c>
      <c r="P92" s="21">
        <v>26.39</v>
      </c>
    </row>
    <row r="93" spans="1:16" x14ac:dyDescent="0.3">
      <c r="A93" s="17" t="s">
        <v>157</v>
      </c>
      <c r="B93" s="18">
        <v>40847</v>
      </c>
      <c r="C93" s="19">
        <v>2011</v>
      </c>
      <c r="D93" s="20" t="s">
        <v>17</v>
      </c>
      <c r="E93" s="19" t="s">
        <v>72</v>
      </c>
      <c r="F93" s="19" t="s">
        <v>33</v>
      </c>
      <c r="G93" s="19" t="s">
        <v>20</v>
      </c>
      <c r="H93" s="19">
        <v>61.22</v>
      </c>
      <c r="I93" s="19">
        <v>85.35</v>
      </c>
      <c r="J93" s="19">
        <v>1394.09</v>
      </c>
      <c r="K93" s="19" t="s">
        <v>34</v>
      </c>
      <c r="L93" s="19" t="s">
        <v>47</v>
      </c>
      <c r="M93" s="19">
        <v>206.08</v>
      </c>
      <c r="N93" s="19">
        <v>785.36</v>
      </c>
      <c r="O93" s="19" t="s">
        <v>70</v>
      </c>
      <c r="P93" s="21">
        <v>25.71</v>
      </c>
    </row>
    <row r="94" spans="1:16" x14ac:dyDescent="0.3">
      <c r="A94" s="17" t="s">
        <v>158</v>
      </c>
      <c r="B94" s="18">
        <v>43220</v>
      </c>
      <c r="C94" s="19">
        <v>2018</v>
      </c>
      <c r="D94" s="20" t="s">
        <v>31</v>
      </c>
      <c r="E94" s="19" t="s">
        <v>32</v>
      </c>
      <c r="F94" s="19" t="s">
        <v>19</v>
      </c>
      <c r="G94" s="19" t="s">
        <v>46</v>
      </c>
      <c r="H94" s="19">
        <v>10.82</v>
      </c>
      <c r="I94" s="19">
        <v>56.38</v>
      </c>
      <c r="J94" s="19">
        <v>5210.68</v>
      </c>
      <c r="K94" s="19" t="s">
        <v>40</v>
      </c>
      <c r="L94" s="19" t="s">
        <v>29</v>
      </c>
      <c r="M94" s="19">
        <v>157.52000000000001</v>
      </c>
      <c r="N94" s="19">
        <v>1088.0899999999999</v>
      </c>
      <c r="O94" s="19" t="s">
        <v>52</v>
      </c>
      <c r="P94" s="21">
        <v>25.08</v>
      </c>
    </row>
    <row r="95" spans="1:16" x14ac:dyDescent="0.3">
      <c r="A95" s="17" t="s">
        <v>159</v>
      </c>
      <c r="B95" s="18">
        <v>40871</v>
      </c>
      <c r="C95" s="19">
        <v>2011</v>
      </c>
      <c r="D95" s="20" t="s">
        <v>36</v>
      </c>
      <c r="E95" s="19" t="s">
        <v>77</v>
      </c>
      <c r="F95" s="19" t="s">
        <v>38</v>
      </c>
      <c r="G95" s="19" t="s">
        <v>46</v>
      </c>
      <c r="H95" s="19">
        <v>31.94</v>
      </c>
      <c r="I95" s="19">
        <v>80.790000000000006</v>
      </c>
      <c r="J95" s="19">
        <v>2529.34</v>
      </c>
      <c r="K95" s="19" t="s">
        <v>40</v>
      </c>
      <c r="L95" s="19" t="s">
        <v>29</v>
      </c>
      <c r="M95" s="19">
        <v>221.71</v>
      </c>
      <c r="N95" s="19">
        <v>674.27</v>
      </c>
      <c r="O95" s="19" t="s">
        <v>23</v>
      </c>
      <c r="P95" s="21">
        <v>32.479999999999997</v>
      </c>
    </row>
    <row r="96" spans="1:16" x14ac:dyDescent="0.3">
      <c r="A96" s="17" t="s">
        <v>160</v>
      </c>
      <c r="B96" s="18">
        <v>44514</v>
      </c>
      <c r="C96" s="19">
        <v>2021</v>
      </c>
      <c r="D96" s="20" t="s">
        <v>25</v>
      </c>
      <c r="E96" s="19" t="s">
        <v>69</v>
      </c>
      <c r="F96" s="19" t="s">
        <v>38</v>
      </c>
      <c r="G96" s="19" t="s">
        <v>56</v>
      </c>
      <c r="H96" s="19">
        <v>56.08</v>
      </c>
      <c r="I96" s="19">
        <v>253.41</v>
      </c>
      <c r="J96" s="19">
        <v>4518.79</v>
      </c>
      <c r="K96" s="19" t="s">
        <v>34</v>
      </c>
      <c r="L96" s="19" t="s">
        <v>49</v>
      </c>
      <c r="M96" s="19">
        <v>217.5</v>
      </c>
      <c r="N96" s="19">
        <v>610.80999999999995</v>
      </c>
      <c r="O96" s="19" t="s">
        <v>52</v>
      </c>
      <c r="P96" s="21">
        <v>33.020000000000003</v>
      </c>
    </row>
    <row r="97" spans="1:16" x14ac:dyDescent="0.3">
      <c r="A97" s="17" t="s">
        <v>161</v>
      </c>
      <c r="B97" s="18">
        <v>42227</v>
      </c>
      <c r="C97" s="19">
        <v>2015</v>
      </c>
      <c r="D97" s="20" t="s">
        <v>59</v>
      </c>
      <c r="E97" s="19" t="s">
        <v>63</v>
      </c>
      <c r="F97" s="19" t="s">
        <v>33</v>
      </c>
      <c r="G97" s="19" t="s">
        <v>27</v>
      </c>
      <c r="H97" s="19">
        <v>51.23</v>
      </c>
      <c r="I97" s="19">
        <v>98.79</v>
      </c>
      <c r="J97" s="19">
        <v>1928.38</v>
      </c>
      <c r="K97" s="19" t="s">
        <v>28</v>
      </c>
      <c r="L97" s="19" t="s">
        <v>47</v>
      </c>
      <c r="M97" s="19">
        <v>106.06</v>
      </c>
      <c r="N97" s="19">
        <v>308.22000000000003</v>
      </c>
      <c r="O97" s="19" t="s">
        <v>61</v>
      </c>
      <c r="P97" s="21">
        <v>25.51</v>
      </c>
    </row>
    <row r="98" spans="1:16" x14ac:dyDescent="0.3">
      <c r="A98" s="17" t="s">
        <v>162</v>
      </c>
      <c r="B98" s="18">
        <v>43213</v>
      </c>
      <c r="C98" s="19">
        <v>2018</v>
      </c>
      <c r="D98" s="20" t="s">
        <v>103</v>
      </c>
      <c r="E98" s="19" t="s">
        <v>107</v>
      </c>
      <c r="F98" s="19" t="s">
        <v>19</v>
      </c>
      <c r="G98" s="19" t="s">
        <v>27</v>
      </c>
      <c r="H98" s="19">
        <v>67.819999999999993</v>
      </c>
      <c r="I98" s="19">
        <v>294.37</v>
      </c>
      <c r="J98" s="19">
        <v>4340.4399999999996</v>
      </c>
      <c r="K98" s="19" t="s">
        <v>34</v>
      </c>
      <c r="L98" s="19" t="s">
        <v>22</v>
      </c>
      <c r="M98" s="19">
        <v>57.24</v>
      </c>
      <c r="N98" s="19">
        <v>473.27</v>
      </c>
      <c r="O98" s="19" t="s">
        <v>70</v>
      </c>
      <c r="P98" s="21">
        <v>33.82</v>
      </c>
    </row>
    <row r="99" spans="1:16" x14ac:dyDescent="0.3">
      <c r="A99" s="17" t="s">
        <v>163</v>
      </c>
      <c r="B99" s="18">
        <v>43577</v>
      </c>
      <c r="C99" s="19">
        <v>2019</v>
      </c>
      <c r="D99" s="20" t="s">
        <v>103</v>
      </c>
      <c r="E99" s="19" t="s">
        <v>104</v>
      </c>
      <c r="F99" s="19" t="s">
        <v>19</v>
      </c>
      <c r="G99" s="19" t="s">
        <v>46</v>
      </c>
      <c r="H99" s="19">
        <v>7.89</v>
      </c>
      <c r="I99" s="19">
        <v>42.97</v>
      </c>
      <c r="J99" s="19">
        <v>5445.81</v>
      </c>
      <c r="K99" s="19" t="s">
        <v>21</v>
      </c>
      <c r="L99" s="19" t="s">
        <v>41</v>
      </c>
      <c r="M99" s="19">
        <v>72.94</v>
      </c>
      <c r="N99" s="19">
        <v>730.48</v>
      </c>
      <c r="O99" s="19" t="s">
        <v>52</v>
      </c>
      <c r="P99" s="21">
        <v>26.3</v>
      </c>
    </row>
    <row r="100" spans="1:16" x14ac:dyDescent="0.3">
      <c r="A100" s="17" t="s">
        <v>164</v>
      </c>
      <c r="B100" s="18">
        <v>44609</v>
      </c>
      <c r="C100" s="19">
        <v>2021</v>
      </c>
      <c r="D100" s="20" t="s">
        <v>31</v>
      </c>
      <c r="E100" s="19" t="s">
        <v>32</v>
      </c>
      <c r="F100" s="19" t="s">
        <v>38</v>
      </c>
      <c r="G100" s="19" t="s">
        <v>27</v>
      </c>
      <c r="H100" s="19">
        <v>60.03</v>
      </c>
      <c r="I100" s="19">
        <v>378.19</v>
      </c>
      <c r="J100" s="19">
        <v>6300.05</v>
      </c>
      <c r="K100" s="19" t="s">
        <v>40</v>
      </c>
      <c r="L100" s="19" t="s">
        <v>29</v>
      </c>
      <c r="M100" s="19">
        <v>89.35</v>
      </c>
      <c r="N100" s="19">
        <v>817.84</v>
      </c>
      <c r="O100" s="19" t="s">
        <v>23</v>
      </c>
      <c r="P100" s="21">
        <v>24.08</v>
      </c>
    </row>
    <row r="101" spans="1:16" x14ac:dyDescent="0.3">
      <c r="A101" s="17" t="s">
        <v>165</v>
      </c>
      <c r="B101" s="18">
        <v>42753</v>
      </c>
      <c r="C101" s="19">
        <v>2016</v>
      </c>
      <c r="D101" s="20" t="s">
        <v>59</v>
      </c>
      <c r="E101" s="19" t="s">
        <v>63</v>
      </c>
      <c r="F101" s="19" t="s">
        <v>38</v>
      </c>
      <c r="G101" s="19" t="s">
        <v>56</v>
      </c>
      <c r="H101" s="19">
        <v>75.739999999999995</v>
      </c>
      <c r="I101" s="19">
        <v>127.46</v>
      </c>
      <c r="J101" s="19">
        <v>1682.91</v>
      </c>
      <c r="K101" s="19" t="s">
        <v>28</v>
      </c>
      <c r="L101" s="19" t="s">
        <v>22</v>
      </c>
      <c r="M101" s="19">
        <v>77.72</v>
      </c>
      <c r="N101" s="19">
        <v>878.22</v>
      </c>
      <c r="O101" s="19" t="s">
        <v>61</v>
      </c>
      <c r="P101" s="21">
        <v>27.3</v>
      </c>
    </row>
    <row r="102" spans="1:16" x14ac:dyDescent="0.3">
      <c r="A102" s="17" t="s">
        <v>166</v>
      </c>
      <c r="B102" s="18">
        <v>43727</v>
      </c>
      <c r="C102" s="19">
        <v>2019</v>
      </c>
      <c r="D102" s="20" t="s">
        <v>103</v>
      </c>
      <c r="E102" s="19" t="s">
        <v>107</v>
      </c>
      <c r="F102" s="19" t="s">
        <v>33</v>
      </c>
      <c r="G102" s="19" t="s">
        <v>64</v>
      </c>
      <c r="H102" s="19">
        <v>21.24</v>
      </c>
      <c r="I102" s="19">
        <v>141.71</v>
      </c>
      <c r="J102" s="19">
        <v>6671.94</v>
      </c>
      <c r="K102" s="19" t="s">
        <v>40</v>
      </c>
      <c r="L102" s="19" t="s">
        <v>41</v>
      </c>
      <c r="M102" s="19">
        <v>241.04</v>
      </c>
      <c r="N102" s="19">
        <v>489.45</v>
      </c>
      <c r="O102" s="19" t="s">
        <v>23</v>
      </c>
      <c r="P102" s="21">
        <v>20.12</v>
      </c>
    </row>
    <row r="103" spans="1:16" x14ac:dyDescent="0.3">
      <c r="A103" s="17" t="s">
        <v>167</v>
      </c>
      <c r="B103" s="18">
        <v>43220</v>
      </c>
      <c r="C103" s="19">
        <v>2018</v>
      </c>
      <c r="D103" s="20" t="s">
        <v>103</v>
      </c>
      <c r="E103" s="19" t="s">
        <v>107</v>
      </c>
      <c r="F103" s="19" t="s">
        <v>19</v>
      </c>
      <c r="G103" s="19" t="s">
        <v>56</v>
      </c>
      <c r="H103" s="19">
        <v>50.53</v>
      </c>
      <c r="I103" s="19">
        <v>303.19</v>
      </c>
      <c r="J103" s="19">
        <v>6000.13</v>
      </c>
      <c r="K103" s="19" t="s">
        <v>34</v>
      </c>
      <c r="L103" s="19" t="s">
        <v>22</v>
      </c>
      <c r="M103" s="19">
        <v>68.02</v>
      </c>
      <c r="N103" s="19">
        <v>1061.76</v>
      </c>
      <c r="O103" s="19" t="s">
        <v>23</v>
      </c>
      <c r="P103" s="21">
        <v>26.54</v>
      </c>
    </row>
    <row r="104" spans="1:16" x14ac:dyDescent="0.3">
      <c r="A104" s="17" t="s">
        <v>168</v>
      </c>
      <c r="B104" s="18">
        <v>43887</v>
      </c>
      <c r="C104" s="19">
        <v>2019</v>
      </c>
      <c r="D104" s="20" t="s">
        <v>44</v>
      </c>
      <c r="E104" s="19" t="s">
        <v>99</v>
      </c>
      <c r="F104" s="19" t="s">
        <v>38</v>
      </c>
      <c r="G104" s="19" t="s">
        <v>27</v>
      </c>
      <c r="H104" s="19">
        <v>41.04</v>
      </c>
      <c r="I104" s="19">
        <v>198.67</v>
      </c>
      <c r="J104" s="19">
        <v>4840.8500000000004</v>
      </c>
      <c r="K104" s="19" t="s">
        <v>34</v>
      </c>
      <c r="L104" s="19" t="s">
        <v>49</v>
      </c>
      <c r="M104" s="19">
        <v>78.790000000000006</v>
      </c>
      <c r="N104" s="19">
        <v>220.86</v>
      </c>
      <c r="O104" s="19" t="s">
        <v>70</v>
      </c>
      <c r="P104" s="21">
        <v>22.58</v>
      </c>
    </row>
    <row r="105" spans="1:16" x14ac:dyDescent="0.3">
      <c r="A105" s="17" t="s">
        <v>169</v>
      </c>
      <c r="B105" s="18">
        <v>40738</v>
      </c>
      <c r="C105" s="19">
        <v>2011</v>
      </c>
      <c r="D105" s="20" t="s">
        <v>25</v>
      </c>
      <c r="E105" s="19" t="s">
        <v>87</v>
      </c>
      <c r="F105" s="19" t="s">
        <v>33</v>
      </c>
      <c r="G105" s="19" t="s">
        <v>46</v>
      </c>
      <c r="H105" s="19">
        <v>59.3</v>
      </c>
      <c r="I105" s="19">
        <v>245.73</v>
      </c>
      <c r="J105" s="19">
        <v>4143.78</v>
      </c>
      <c r="K105" s="19" t="s">
        <v>28</v>
      </c>
      <c r="L105" s="19" t="s">
        <v>22</v>
      </c>
      <c r="M105" s="19">
        <v>267.63</v>
      </c>
      <c r="N105" s="19">
        <v>945.8</v>
      </c>
      <c r="O105" s="19" t="s">
        <v>42</v>
      </c>
      <c r="P105" s="21">
        <v>25</v>
      </c>
    </row>
    <row r="106" spans="1:16" x14ac:dyDescent="0.3">
      <c r="A106" s="17" t="s">
        <v>170</v>
      </c>
      <c r="B106" s="18">
        <v>40643</v>
      </c>
      <c r="C106" s="19">
        <v>2011</v>
      </c>
      <c r="D106" s="20" t="s">
        <v>59</v>
      </c>
      <c r="E106" s="19" t="s">
        <v>93</v>
      </c>
      <c r="F106" s="19" t="s">
        <v>19</v>
      </c>
      <c r="G106" s="19" t="s">
        <v>27</v>
      </c>
      <c r="H106" s="19">
        <v>20.2</v>
      </c>
      <c r="I106" s="19">
        <v>114.28</v>
      </c>
      <c r="J106" s="19">
        <v>5657.37</v>
      </c>
      <c r="K106" s="19" t="s">
        <v>34</v>
      </c>
      <c r="L106" s="19" t="s">
        <v>49</v>
      </c>
      <c r="M106" s="19">
        <v>231.84</v>
      </c>
      <c r="N106" s="19">
        <v>1018.95</v>
      </c>
      <c r="O106" s="19" t="s">
        <v>42</v>
      </c>
      <c r="P106" s="21">
        <v>23.54</v>
      </c>
    </row>
    <row r="107" spans="1:16" x14ac:dyDescent="0.3">
      <c r="A107" s="17" t="s">
        <v>171</v>
      </c>
      <c r="B107" s="18">
        <v>43761</v>
      </c>
      <c r="C107" s="19">
        <v>2019</v>
      </c>
      <c r="D107" s="20" t="s">
        <v>103</v>
      </c>
      <c r="E107" s="19" t="s">
        <v>104</v>
      </c>
      <c r="F107" s="19" t="s">
        <v>33</v>
      </c>
      <c r="G107" s="19" t="s">
        <v>39</v>
      </c>
      <c r="H107" s="19">
        <v>8.4600000000000009</v>
      </c>
      <c r="I107" s="19">
        <v>56.75</v>
      </c>
      <c r="J107" s="19">
        <v>6707.75</v>
      </c>
      <c r="K107" s="19" t="s">
        <v>28</v>
      </c>
      <c r="L107" s="19" t="s">
        <v>47</v>
      </c>
      <c r="M107" s="19">
        <v>165.99</v>
      </c>
      <c r="N107" s="19">
        <v>763.74</v>
      </c>
      <c r="O107" s="19" t="s">
        <v>61</v>
      </c>
      <c r="P107" s="21">
        <v>26.73</v>
      </c>
    </row>
    <row r="108" spans="1:16" x14ac:dyDescent="0.3">
      <c r="A108" s="17" t="s">
        <v>172</v>
      </c>
      <c r="B108" s="18">
        <v>42235</v>
      </c>
      <c r="C108" s="19">
        <v>2015</v>
      </c>
      <c r="D108" s="20" t="s">
        <v>31</v>
      </c>
      <c r="E108" s="19" t="s">
        <v>117</v>
      </c>
      <c r="F108" s="19" t="s">
        <v>33</v>
      </c>
      <c r="G108" s="19" t="s">
        <v>46</v>
      </c>
      <c r="H108" s="19">
        <v>7.76</v>
      </c>
      <c r="I108" s="19">
        <v>28.35</v>
      </c>
      <c r="J108" s="19">
        <v>3653.25</v>
      </c>
      <c r="K108" s="19" t="s">
        <v>34</v>
      </c>
      <c r="L108" s="19" t="s">
        <v>29</v>
      </c>
      <c r="M108" s="19">
        <v>249.08</v>
      </c>
      <c r="N108" s="19">
        <v>791.42</v>
      </c>
      <c r="O108" s="19" t="s">
        <v>70</v>
      </c>
      <c r="P108" s="21">
        <v>27.61</v>
      </c>
    </row>
    <row r="109" spans="1:16" x14ac:dyDescent="0.3">
      <c r="A109" s="17" t="s">
        <v>173</v>
      </c>
      <c r="B109" s="18">
        <v>40493</v>
      </c>
      <c r="C109" s="19">
        <v>2010</v>
      </c>
      <c r="D109" s="20" t="s">
        <v>36</v>
      </c>
      <c r="E109" s="19" t="s">
        <v>37</v>
      </c>
      <c r="F109" s="19" t="s">
        <v>38</v>
      </c>
      <c r="G109" s="19" t="s">
        <v>20</v>
      </c>
      <c r="H109" s="19">
        <v>8.6</v>
      </c>
      <c r="I109" s="19">
        <v>53.2</v>
      </c>
      <c r="J109" s="19">
        <v>6185.5</v>
      </c>
      <c r="K109" s="19" t="s">
        <v>21</v>
      </c>
      <c r="L109" s="19" t="s">
        <v>29</v>
      </c>
      <c r="M109" s="19">
        <v>203.75</v>
      </c>
      <c r="N109" s="19">
        <v>707.07</v>
      </c>
      <c r="O109" s="19" t="s">
        <v>52</v>
      </c>
      <c r="P109" s="21">
        <v>28.7</v>
      </c>
    </row>
    <row r="110" spans="1:16" x14ac:dyDescent="0.3">
      <c r="A110" s="17" t="s">
        <v>174</v>
      </c>
      <c r="B110" s="18">
        <v>44004</v>
      </c>
      <c r="C110" s="19">
        <v>2020</v>
      </c>
      <c r="D110" s="20" t="s">
        <v>44</v>
      </c>
      <c r="E110" s="19" t="s">
        <v>67</v>
      </c>
      <c r="F110" s="19" t="s">
        <v>33</v>
      </c>
      <c r="G110" s="19" t="s">
        <v>20</v>
      </c>
      <c r="H110" s="19">
        <v>60.9</v>
      </c>
      <c r="I110" s="19">
        <v>244.1</v>
      </c>
      <c r="J110" s="19">
        <v>4008.2</v>
      </c>
      <c r="K110" s="19" t="s">
        <v>21</v>
      </c>
      <c r="L110" s="19" t="s">
        <v>47</v>
      </c>
      <c r="M110" s="19">
        <v>162.63</v>
      </c>
      <c r="N110" s="19">
        <v>1010.97</v>
      </c>
      <c r="O110" s="19" t="s">
        <v>70</v>
      </c>
      <c r="P110" s="21">
        <v>34.74</v>
      </c>
    </row>
    <row r="111" spans="1:16" x14ac:dyDescent="0.3">
      <c r="A111" s="17" t="s">
        <v>175</v>
      </c>
      <c r="B111" s="18">
        <v>40416</v>
      </c>
      <c r="C111" s="19">
        <v>2010</v>
      </c>
      <c r="D111" s="20" t="s">
        <v>17</v>
      </c>
      <c r="E111" s="19" t="s">
        <v>18</v>
      </c>
      <c r="F111" s="19" t="s">
        <v>33</v>
      </c>
      <c r="G111" s="19" t="s">
        <v>39</v>
      </c>
      <c r="H111" s="19">
        <v>44.34</v>
      </c>
      <c r="I111" s="19">
        <v>161.24</v>
      </c>
      <c r="J111" s="19">
        <v>3636.53</v>
      </c>
      <c r="K111" s="19" t="s">
        <v>40</v>
      </c>
      <c r="L111" s="19" t="s">
        <v>47</v>
      </c>
      <c r="M111" s="19">
        <v>140.97</v>
      </c>
      <c r="N111" s="19">
        <v>1117.94</v>
      </c>
      <c r="O111" s="19" t="s">
        <v>52</v>
      </c>
      <c r="P111" s="21">
        <v>26.13</v>
      </c>
    </row>
    <row r="112" spans="1:16" x14ac:dyDescent="0.3">
      <c r="A112" s="17" t="s">
        <v>176</v>
      </c>
      <c r="B112" s="18">
        <v>44221</v>
      </c>
      <c r="C112" s="19">
        <v>2020</v>
      </c>
      <c r="D112" s="20" t="s">
        <v>25</v>
      </c>
      <c r="E112" s="19" t="s">
        <v>69</v>
      </c>
      <c r="F112" s="19" t="s">
        <v>38</v>
      </c>
      <c r="G112" s="19" t="s">
        <v>64</v>
      </c>
      <c r="H112" s="19">
        <v>33.64</v>
      </c>
      <c r="I112" s="19">
        <v>146.26</v>
      </c>
      <c r="J112" s="19">
        <v>4347.78</v>
      </c>
      <c r="K112" s="19" t="s">
        <v>28</v>
      </c>
      <c r="L112" s="19" t="s">
        <v>22</v>
      </c>
      <c r="M112" s="19">
        <v>121.04</v>
      </c>
      <c r="N112" s="19">
        <v>923.73</v>
      </c>
      <c r="O112" s="19" t="s">
        <v>61</v>
      </c>
      <c r="P112" s="21">
        <v>33.1</v>
      </c>
    </row>
    <row r="113" spans="1:16" x14ac:dyDescent="0.3">
      <c r="A113" s="17" t="s">
        <v>177</v>
      </c>
      <c r="B113" s="18">
        <v>41310</v>
      </c>
      <c r="C113" s="19">
        <v>2012</v>
      </c>
      <c r="D113" s="20" t="s">
        <v>59</v>
      </c>
      <c r="E113" s="19" t="s">
        <v>93</v>
      </c>
      <c r="F113" s="19" t="s">
        <v>38</v>
      </c>
      <c r="G113" s="19" t="s">
        <v>20</v>
      </c>
      <c r="H113" s="19">
        <v>96.8</v>
      </c>
      <c r="I113" s="19">
        <v>502.48</v>
      </c>
      <c r="J113" s="19">
        <v>5190.88</v>
      </c>
      <c r="K113" s="19" t="s">
        <v>28</v>
      </c>
      <c r="L113" s="19" t="s">
        <v>49</v>
      </c>
      <c r="M113" s="19">
        <v>82.24</v>
      </c>
      <c r="N113" s="19">
        <v>908.83</v>
      </c>
      <c r="O113" s="19" t="s">
        <v>23</v>
      </c>
      <c r="P113" s="21">
        <v>24.64</v>
      </c>
    </row>
    <row r="114" spans="1:16" x14ac:dyDescent="0.3">
      <c r="A114" s="17" t="s">
        <v>178</v>
      </c>
      <c r="B114" s="18">
        <v>43941</v>
      </c>
      <c r="C114" s="19">
        <v>2020</v>
      </c>
      <c r="D114" s="20" t="s">
        <v>44</v>
      </c>
      <c r="E114" s="19" t="s">
        <v>45</v>
      </c>
      <c r="F114" s="19" t="s">
        <v>19</v>
      </c>
      <c r="G114" s="19" t="s">
        <v>39</v>
      </c>
      <c r="H114" s="19">
        <v>99.72</v>
      </c>
      <c r="I114" s="19">
        <v>645.66</v>
      </c>
      <c r="J114" s="19">
        <v>6474.69</v>
      </c>
      <c r="K114" s="19" t="s">
        <v>21</v>
      </c>
      <c r="L114" s="19" t="s">
        <v>41</v>
      </c>
      <c r="M114" s="19">
        <v>211.51</v>
      </c>
      <c r="N114" s="19">
        <v>623.41</v>
      </c>
      <c r="O114" s="19" t="s">
        <v>70</v>
      </c>
      <c r="P114" s="21">
        <v>20.27</v>
      </c>
    </row>
    <row r="115" spans="1:16" x14ac:dyDescent="0.3">
      <c r="A115" s="17" t="s">
        <v>179</v>
      </c>
      <c r="B115" s="18">
        <v>45000</v>
      </c>
      <c r="C115" s="19">
        <v>2022</v>
      </c>
      <c r="D115" s="20" t="s">
        <v>103</v>
      </c>
      <c r="E115" s="19" t="s">
        <v>107</v>
      </c>
      <c r="F115" s="19" t="s">
        <v>38</v>
      </c>
      <c r="G115" s="19" t="s">
        <v>56</v>
      </c>
      <c r="H115" s="19">
        <v>23.43</v>
      </c>
      <c r="I115" s="19">
        <v>42.77</v>
      </c>
      <c r="J115" s="19">
        <v>1825.39</v>
      </c>
      <c r="K115" s="19" t="s">
        <v>21</v>
      </c>
      <c r="L115" s="19" t="s">
        <v>22</v>
      </c>
      <c r="M115" s="19">
        <v>123.95</v>
      </c>
      <c r="N115" s="19">
        <v>988.12</v>
      </c>
      <c r="O115" s="19" t="s">
        <v>61</v>
      </c>
      <c r="P115" s="21">
        <v>31.56</v>
      </c>
    </row>
    <row r="116" spans="1:16" x14ac:dyDescent="0.3">
      <c r="A116" s="17" t="s">
        <v>180</v>
      </c>
      <c r="B116" s="18">
        <v>44654</v>
      </c>
      <c r="C116" s="19">
        <v>2022</v>
      </c>
      <c r="D116" s="20" t="s">
        <v>17</v>
      </c>
      <c r="E116" s="19" t="s">
        <v>72</v>
      </c>
      <c r="F116" s="19" t="s">
        <v>19</v>
      </c>
      <c r="G116" s="19" t="s">
        <v>56</v>
      </c>
      <c r="H116" s="19">
        <v>60.13</v>
      </c>
      <c r="I116" s="19">
        <v>115.78</v>
      </c>
      <c r="J116" s="19">
        <v>1925.52</v>
      </c>
      <c r="K116" s="19" t="s">
        <v>40</v>
      </c>
      <c r="L116" s="19" t="s">
        <v>29</v>
      </c>
      <c r="M116" s="19">
        <v>257.83999999999997</v>
      </c>
      <c r="N116" s="19">
        <v>971.1</v>
      </c>
      <c r="O116" s="19" t="s">
        <v>42</v>
      </c>
      <c r="P116" s="21">
        <v>30.82</v>
      </c>
    </row>
    <row r="117" spans="1:16" x14ac:dyDescent="0.3">
      <c r="A117" s="17" t="s">
        <v>181</v>
      </c>
      <c r="B117" s="18">
        <v>44397</v>
      </c>
      <c r="C117" s="19">
        <v>2021</v>
      </c>
      <c r="D117" s="20" t="s">
        <v>31</v>
      </c>
      <c r="E117" s="19" t="s">
        <v>117</v>
      </c>
      <c r="F117" s="19" t="s">
        <v>33</v>
      </c>
      <c r="G117" s="19" t="s">
        <v>46</v>
      </c>
      <c r="H117" s="19">
        <v>61.45</v>
      </c>
      <c r="I117" s="19">
        <v>338.86</v>
      </c>
      <c r="J117" s="19">
        <v>5514.35</v>
      </c>
      <c r="K117" s="19" t="s">
        <v>28</v>
      </c>
      <c r="L117" s="19" t="s">
        <v>49</v>
      </c>
      <c r="M117" s="19">
        <v>108.5</v>
      </c>
      <c r="N117" s="19">
        <v>439.17</v>
      </c>
      <c r="O117" s="19" t="s">
        <v>52</v>
      </c>
      <c r="P117" s="21">
        <v>33.56</v>
      </c>
    </row>
    <row r="118" spans="1:16" x14ac:dyDescent="0.3">
      <c r="A118" s="17" t="s">
        <v>182</v>
      </c>
      <c r="B118" s="18">
        <v>43104</v>
      </c>
      <c r="C118" s="19">
        <v>2017</v>
      </c>
      <c r="D118" s="20" t="s">
        <v>17</v>
      </c>
      <c r="E118" s="19" t="s">
        <v>54</v>
      </c>
      <c r="F118" s="19" t="s">
        <v>38</v>
      </c>
      <c r="G118" s="19" t="s">
        <v>20</v>
      </c>
      <c r="H118" s="19">
        <v>78.03</v>
      </c>
      <c r="I118" s="19">
        <v>313.48</v>
      </c>
      <c r="J118" s="19">
        <v>4017.44</v>
      </c>
      <c r="K118" s="19" t="s">
        <v>28</v>
      </c>
      <c r="L118" s="19" t="s">
        <v>22</v>
      </c>
      <c r="M118" s="19">
        <v>291.57</v>
      </c>
      <c r="N118" s="19">
        <v>1016.89</v>
      </c>
      <c r="O118" s="19" t="s">
        <v>61</v>
      </c>
      <c r="P118" s="21">
        <v>22.08</v>
      </c>
    </row>
    <row r="119" spans="1:16" x14ac:dyDescent="0.3">
      <c r="A119" s="17" t="s">
        <v>183</v>
      </c>
      <c r="B119" s="18">
        <v>42127</v>
      </c>
      <c r="C119" s="19">
        <v>2015</v>
      </c>
      <c r="D119" s="20" t="s">
        <v>17</v>
      </c>
      <c r="E119" s="19" t="s">
        <v>72</v>
      </c>
      <c r="F119" s="19" t="s">
        <v>19</v>
      </c>
      <c r="G119" s="19" t="s">
        <v>64</v>
      </c>
      <c r="H119" s="19">
        <v>71.430000000000007</v>
      </c>
      <c r="I119" s="19">
        <v>292.54000000000002</v>
      </c>
      <c r="J119" s="19">
        <v>4095.46</v>
      </c>
      <c r="K119" s="19" t="s">
        <v>21</v>
      </c>
      <c r="L119" s="19" t="s">
        <v>41</v>
      </c>
      <c r="M119" s="19">
        <v>121.27</v>
      </c>
      <c r="N119" s="19">
        <v>963.12</v>
      </c>
      <c r="O119" s="19" t="s">
        <v>70</v>
      </c>
      <c r="P119" s="21">
        <v>26.74</v>
      </c>
    </row>
    <row r="120" spans="1:16" x14ac:dyDescent="0.3">
      <c r="A120" s="17" t="s">
        <v>184</v>
      </c>
      <c r="B120" s="18">
        <v>40715</v>
      </c>
      <c r="C120" s="19">
        <v>2011</v>
      </c>
      <c r="D120" s="20" t="s">
        <v>44</v>
      </c>
      <c r="E120" s="19" t="s">
        <v>99</v>
      </c>
      <c r="F120" s="19" t="s">
        <v>33</v>
      </c>
      <c r="G120" s="19" t="s">
        <v>46</v>
      </c>
      <c r="H120" s="19">
        <v>88.58</v>
      </c>
      <c r="I120" s="19">
        <v>583.11</v>
      </c>
      <c r="J120" s="19">
        <v>6582.83</v>
      </c>
      <c r="K120" s="19" t="s">
        <v>28</v>
      </c>
      <c r="L120" s="19" t="s">
        <v>49</v>
      </c>
      <c r="M120" s="19">
        <v>63.31</v>
      </c>
      <c r="N120" s="19">
        <v>702.01</v>
      </c>
      <c r="O120" s="19" t="s">
        <v>42</v>
      </c>
      <c r="P120" s="21">
        <v>25.79</v>
      </c>
    </row>
    <row r="121" spans="1:16" x14ac:dyDescent="0.3">
      <c r="A121" s="17" t="s">
        <v>185</v>
      </c>
      <c r="B121" s="18">
        <v>42191</v>
      </c>
      <c r="C121" s="19">
        <v>2015</v>
      </c>
      <c r="D121" s="20" t="s">
        <v>103</v>
      </c>
      <c r="E121" s="19" t="s">
        <v>104</v>
      </c>
      <c r="F121" s="19" t="s">
        <v>33</v>
      </c>
      <c r="G121" s="19" t="s">
        <v>39</v>
      </c>
      <c r="H121" s="19">
        <v>65.349999999999994</v>
      </c>
      <c r="I121" s="19">
        <v>375.65</v>
      </c>
      <c r="J121" s="19">
        <v>5748.28</v>
      </c>
      <c r="K121" s="19" t="s">
        <v>40</v>
      </c>
      <c r="L121" s="19" t="s">
        <v>29</v>
      </c>
      <c r="M121" s="19">
        <v>59.58</v>
      </c>
      <c r="N121" s="19">
        <v>1117.4000000000001</v>
      </c>
      <c r="O121" s="19" t="s">
        <v>52</v>
      </c>
      <c r="P121" s="21">
        <v>30.44</v>
      </c>
    </row>
    <row r="122" spans="1:16" x14ac:dyDescent="0.3">
      <c r="A122" s="17" t="s">
        <v>186</v>
      </c>
      <c r="B122" s="18">
        <v>40391</v>
      </c>
      <c r="C122" s="19">
        <v>2010</v>
      </c>
      <c r="D122" s="20" t="s">
        <v>36</v>
      </c>
      <c r="E122" s="19" t="s">
        <v>77</v>
      </c>
      <c r="F122" s="19" t="s">
        <v>33</v>
      </c>
      <c r="G122" s="19" t="s">
        <v>64</v>
      </c>
      <c r="H122" s="19">
        <v>26.34</v>
      </c>
      <c r="I122" s="19">
        <v>158.30000000000001</v>
      </c>
      <c r="J122" s="19">
        <v>6009.78</v>
      </c>
      <c r="K122" s="19" t="s">
        <v>28</v>
      </c>
      <c r="L122" s="19" t="s">
        <v>29</v>
      </c>
      <c r="M122" s="19">
        <v>77.8</v>
      </c>
      <c r="N122" s="19">
        <v>488.1</v>
      </c>
      <c r="O122" s="19" t="s">
        <v>70</v>
      </c>
      <c r="P122" s="21">
        <v>21.83</v>
      </c>
    </row>
    <row r="123" spans="1:16" x14ac:dyDescent="0.3">
      <c r="A123" s="17" t="s">
        <v>187</v>
      </c>
      <c r="B123" s="18">
        <v>42887</v>
      </c>
      <c r="C123" s="19">
        <v>2017</v>
      </c>
      <c r="D123" s="20" t="s">
        <v>17</v>
      </c>
      <c r="E123" s="19" t="s">
        <v>54</v>
      </c>
      <c r="F123" s="19" t="s">
        <v>33</v>
      </c>
      <c r="G123" s="19" t="s">
        <v>64</v>
      </c>
      <c r="H123" s="19">
        <v>83.83</v>
      </c>
      <c r="I123" s="19">
        <v>335.23</v>
      </c>
      <c r="J123" s="19">
        <v>3998.98</v>
      </c>
      <c r="K123" s="19" t="s">
        <v>21</v>
      </c>
      <c r="L123" s="19" t="s">
        <v>47</v>
      </c>
      <c r="M123" s="19">
        <v>207.99</v>
      </c>
      <c r="N123" s="19">
        <v>775.05</v>
      </c>
      <c r="O123" s="19" t="s">
        <v>42</v>
      </c>
      <c r="P123" s="21">
        <v>24.37</v>
      </c>
    </row>
    <row r="124" spans="1:16" x14ac:dyDescent="0.3">
      <c r="A124" s="17" t="s">
        <v>188</v>
      </c>
      <c r="B124" s="18">
        <v>43899</v>
      </c>
      <c r="C124" s="19">
        <v>2019</v>
      </c>
      <c r="D124" s="20" t="s">
        <v>31</v>
      </c>
      <c r="E124" s="19" t="s">
        <v>82</v>
      </c>
      <c r="F124" s="19" t="s">
        <v>38</v>
      </c>
      <c r="G124" s="19" t="s">
        <v>56</v>
      </c>
      <c r="H124" s="19">
        <v>66.77</v>
      </c>
      <c r="I124" s="19">
        <v>101.07</v>
      </c>
      <c r="J124" s="19">
        <v>1513.68</v>
      </c>
      <c r="K124" s="19" t="s">
        <v>34</v>
      </c>
      <c r="L124" s="19" t="s">
        <v>47</v>
      </c>
      <c r="M124" s="19">
        <v>66.92</v>
      </c>
      <c r="N124" s="19">
        <v>726.06</v>
      </c>
      <c r="O124" s="19" t="s">
        <v>61</v>
      </c>
      <c r="P124" s="21">
        <v>31.8</v>
      </c>
    </row>
    <row r="125" spans="1:16" x14ac:dyDescent="0.3">
      <c r="A125" s="17" t="s">
        <v>189</v>
      </c>
      <c r="B125" s="18">
        <v>42913</v>
      </c>
      <c r="C125" s="19">
        <v>2017</v>
      </c>
      <c r="D125" s="20" t="s">
        <v>25</v>
      </c>
      <c r="E125" s="19" t="s">
        <v>87</v>
      </c>
      <c r="F125" s="19" t="s">
        <v>33</v>
      </c>
      <c r="G125" s="19" t="s">
        <v>39</v>
      </c>
      <c r="H125" s="19">
        <v>39.299999999999997</v>
      </c>
      <c r="I125" s="19">
        <v>127.32</v>
      </c>
      <c r="J125" s="19">
        <v>3239.81</v>
      </c>
      <c r="K125" s="19" t="s">
        <v>21</v>
      </c>
      <c r="L125" s="19" t="s">
        <v>47</v>
      </c>
      <c r="M125" s="19">
        <v>139.27000000000001</v>
      </c>
      <c r="N125" s="19">
        <v>267.56</v>
      </c>
      <c r="O125" s="19" t="s">
        <v>42</v>
      </c>
      <c r="P125" s="21">
        <v>30.99</v>
      </c>
    </row>
    <row r="126" spans="1:16" x14ac:dyDescent="0.3">
      <c r="A126" s="17" t="s">
        <v>190</v>
      </c>
      <c r="B126" s="18">
        <v>41095</v>
      </c>
      <c r="C126" s="19">
        <v>2012</v>
      </c>
      <c r="D126" s="20" t="s">
        <v>17</v>
      </c>
      <c r="E126" s="19" t="s">
        <v>72</v>
      </c>
      <c r="F126" s="19" t="s">
        <v>33</v>
      </c>
      <c r="G126" s="19" t="s">
        <v>20</v>
      </c>
      <c r="H126" s="19">
        <v>55.06</v>
      </c>
      <c r="I126" s="19">
        <v>323.81</v>
      </c>
      <c r="J126" s="19">
        <v>5881.05</v>
      </c>
      <c r="K126" s="19" t="s">
        <v>40</v>
      </c>
      <c r="L126" s="19" t="s">
        <v>22</v>
      </c>
      <c r="M126" s="19">
        <v>257.60000000000002</v>
      </c>
      <c r="N126" s="19">
        <v>884.68</v>
      </c>
      <c r="O126" s="19" t="s">
        <v>52</v>
      </c>
      <c r="P126" s="21">
        <v>29.48</v>
      </c>
    </row>
    <row r="127" spans="1:16" x14ac:dyDescent="0.3">
      <c r="A127" s="17" t="s">
        <v>191</v>
      </c>
      <c r="B127" s="18">
        <v>40622</v>
      </c>
      <c r="C127" s="19">
        <v>2010</v>
      </c>
      <c r="D127" s="20" t="s">
        <v>17</v>
      </c>
      <c r="E127" s="19" t="s">
        <v>72</v>
      </c>
      <c r="F127" s="19" t="s">
        <v>38</v>
      </c>
      <c r="G127" s="19" t="s">
        <v>56</v>
      </c>
      <c r="H127" s="19">
        <v>5.34</v>
      </c>
      <c r="I127" s="19">
        <v>11.73</v>
      </c>
      <c r="J127" s="19">
        <v>2196.8200000000002</v>
      </c>
      <c r="K127" s="19" t="s">
        <v>21</v>
      </c>
      <c r="L127" s="19" t="s">
        <v>29</v>
      </c>
      <c r="M127" s="19">
        <v>128.9</v>
      </c>
      <c r="N127" s="19">
        <v>510.08</v>
      </c>
      <c r="O127" s="19" t="s">
        <v>52</v>
      </c>
      <c r="P127" s="21">
        <v>34.840000000000003</v>
      </c>
    </row>
    <row r="128" spans="1:16" x14ac:dyDescent="0.3">
      <c r="A128" s="17" t="s">
        <v>192</v>
      </c>
      <c r="B128" s="18">
        <v>44679</v>
      </c>
      <c r="C128" s="19">
        <v>2022</v>
      </c>
      <c r="D128" s="20" t="s">
        <v>31</v>
      </c>
      <c r="E128" s="19" t="s">
        <v>82</v>
      </c>
      <c r="F128" s="19" t="s">
        <v>19</v>
      </c>
      <c r="G128" s="19" t="s">
        <v>56</v>
      </c>
      <c r="H128" s="19">
        <v>29.32</v>
      </c>
      <c r="I128" s="19">
        <v>180.99</v>
      </c>
      <c r="J128" s="19">
        <v>6172.83</v>
      </c>
      <c r="K128" s="19" t="s">
        <v>21</v>
      </c>
      <c r="L128" s="19" t="s">
        <v>29</v>
      </c>
      <c r="M128" s="19">
        <v>266.45</v>
      </c>
      <c r="N128" s="19">
        <v>531.91999999999996</v>
      </c>
      <c r="O128" s="19" t="s">
        <v>23</v>
      </c>
      <c r="P128" s="21">
        <v>31.99</v>
      </c>
    </row>
    <row r="129" spans="1:16" x14ac:dyDescent="0.3">
      <c r="A129" s="17" t="s">
        <v>193</v>
      </c>
      <c r="B129" s="18">
        <v>42721</v>
      </c>
      <c r="C129" s="19">
        <v>2016</v>
      </c>
      <c r="D129" s="20" t="s">
        <v>17</v>
      </c>
      <c r="E129" s="19" t="s">
        <v>72</v>
      </c>
      <c r="F129" s="19" t="s">
        <v>38</v>
      </c>
      <c r="G129" s="19" t="s">
        <v>56</v>
      </c>
      <c r="H129" s="19">
        <v>50.12</v>
      </c>
      <c r="I129" s="19">
        <v>199.74</v>
      </c>
      <c r="J129" s="19">
        <v>3985.14</v>
      </c>
      <c r="K129" s="19" t="s">
        <v>34</v>
      </c>
      <c r="L129" s="19" t="s">
        <v>47</v>
      </c>
      <c r="M129" s="19">
        <v>250.29</v>
      </c>
      <c r="N129" s="19">
        <v>927.08</v>
      </c>
      <c r="O129" s="19" t="s">
        <v>23</v>
      </c>
      <c r="P129" s="21">
        <v>26.46</v>
      </c>
    </row>
    <row r="130" spans="1:16" x14ac:dyDescent="0.3">
      <c r="A130" s="17" t="s">
        <v>194</v>
      </c>
      <c r="B130" s="18">
        <v>40785</v>
      </c>
      <c r="C130" s="19">
        <v>2011</v>
      </c>
      <c r="D130" s="20" t="s">
        <v>31</v>
      </c>
      <c r="E130" s="19" t="s">
        <v>32</v>
      </c>
      <c r="F130" s="19" t="s">
        <v>33</v>
      </c>
      <c r="G130" s="19" t="s">
        <v>20</v>
      </c>
      <c r="H130" s="19">
        <v>66.430000000000007</v>
      </c>
      <c r="I130" s="19">
        <v>188.59</v>
      </c>
      <c r="J130" s="19">
        <v>2838.98</v>
      </c>
      <c r="K130" s="19" t="s">
        <v>28</v>
      </c>
      <c r="L130" s="19" t="s">
        <v>47</v>
      </c>
      <c r="M130" s="19">
        <v>91.66</v>
      </c>
      <c r="N130" s="19">
        <v>643.91</v>
      </c>
      <c r="O130" s="19" t="s">
        <v>52</v>
      </c>
      <c r="P130" s="21">
        <v>20.64</v>
      </c>
    </row>
    <row r="131" spans="1:16" x14ac:dyDescent="0.3">
      <c r="A131" s="17" t="s">
        <v>195</v>
      </c>
      <c r="B131" s="18">
        <v>44095</v>
      </c>
      <c r="C131" s="19">
        <v>2020</v>
      </c>
      <c r="D131" s="20" t="s">
        <v>36</v>
      </c>
      <c r="E131" s="19" t="s">
        <v>51</v>
      </c>
      <c r="F131" s="19" t="s">
        <v>33</v>
      </c>
      <c r="G131" s="19" t="s">
        <v>64</v>
      </c>
      <c r="H131" s="19">
        <v>67.45</v>
      </c>
      <c r="I131" s="19">
        <v>231.84</v>
      </c>
      <c r="J131" s="19">
        <v>3437.26</v>
      </c>
      <c r="K131" s="19" t="s">
        <v>40</v>
      </c>
      <c r="L131" s="19" t="s">
        <v>22</v>
      </c>
      <c r="M131" s="19">
        <v>288.2</v>
      </c>
      <c r="N131" s="19">
        <v>342.78</v>
      </c>
      <c r="O131" s="19" t="s">
        <v>61</v>
      </c>
      <c r="P131" s="21">
        <v>30.17</v>
      </c>
    </row>
    <row r="132" spans="1:16" x14ac:dyDescent="0.3">
      <c r="A132" s="17" t="s">
        <v>196</v>
      </c>
      <c r="B132" s="18">
        <v>41413</v>
      </c>
      <c r="C132" s="19">
        <v>2013</v>
      </c>
      <c r="D132" s="20" t="s">
        <v>103</v>
      </c>
      <c r="E132" s="19" t="s">
        <v>104</v>
      </c>
      <c r="F132" s="19" t="s">
        <v>19</v>
      </c>
      <c r="G132" s="19" t="s">
        <v>20</v>
      </c>
      <c r="H132" s="19">
        <v>36.85</v>
      </c>
      <c r="I132" s="19">
        <v>246.78</v>
      </c>
      <c r="J132" s="19">
        <v>6696.8</v>
      </c>
      <c r="K132" s="19" t="s">
        <v>21</v>
      </c>
      <c r="L132" s="19" t="s">
        <v>22</v>
      </c>
      <c r="M132" s="19">
        <v>201.27</v>
      </c>
      <c r="N132" s="19">
        <v>879.06</v>
      </c>
      <c r="O132" s="19" t="s">
        <v>70</v>
      </c>
      <c r="P132" s="21">
        <v>25.58</v>
      </c>
    </row>
    <row r="133" spans="1:16" x14ac:dyDescent="0.3">
      <c r="A133" s="17" t="s">
        <v>197</v>
      </c>
      <c r="B133" s="18">
        <v>43548</v>
      </c>
      <c r="C133" s="19">
        <v>2018</v>
      </c>
      <c r="D133" s="20" t="s">
        <v>59</v>
      </c>
      <c r="E133" s="19" t="s">
        <v>60</v>
      </c>
      <c r="F133" s="19" t="s">
        <v>38</v>
      </c>
      <c r="G133" s="19" t="s">
        <v>46</v>
      </c>
      <c r="H133" s="19">
        <v>32.119999999999997</v>
      </c>
      <c r="I133" s="19">
        <v>85.83</v>
      </c>
      <c r="J133" s="19">
        <v>2672.14</v>
      </c>
      <c r="K133" s="19" t="s">
        <v>21</v>
      </c>
      <c r="L133" s="19" t="s">
        <v>22</v>
      </c>
      <c r="M133" s="19">
        <v>56.48</v>
      </c>
      <c r="N133" s="19">
        <v>386.05</v>
      </c>
      <c r="O133" s="19" t="s">
        <v>61</v>
      </c>
      <c r="P133" s="21">
        <v>25.8</v>
      </c>
    </row>
    <row r="134" spans="1:16" x14ac:dyDescent="0.3">
      <c r="A134" s="17" t="s">
        <v>198</v>
      </c>
      <c r="B134" s="18">
        <v>44614</v>
      </c>
      <c r="C134" s="19">
        <v>2021</v>
      </c>
      <c r="D134" s="20" t="s">
        <v>31</v>
      </c>
      <c r="E134" s="19" t="s">
        <v>32</v>
      </c>
      <c r="F134" s="19" t="s">
        <v>38</v>
      </c>
      <c r="G134" s="19" t="s">
        <v>56</v>
      </c>
      <c r="H134" s="19">
        <v>99.64</v>
      </c>
      <c r="I134" s="19">
        <v>270.37</v>
      </c>
      <c r="J134" s="19">
        <v>2713.46</v>
      </c>
      <c r="K134" s="19" t="s">
        <v>28</v>
      </c>
      <c r="L134" s="19" t="s">
        <v>22</v>
      </c>
      <c r="M134" s="19">
        <v>100.04</v>
      </c>
      <c r="N134" s="19">
        <v>335.73</v>
      </c>
      <c r="O134" s="19" t="s">
        <v>23</v>
      </c>
      <c r="P134" s="21">
        <v>26.78</v>
      </c>
    </row>
    <row r="135" spans="1:16" x14ac:dyDescent="0.3">
      <c r="A135" s="17" t="s">
        <v>199</v>
      </c>
      <c r="B135" s="18">
        <v>42127</v>
      </c>
      <c r="C135" s="19">
        <v>2015</v>
      </c>
      <c r="D135" s="20" t="s">
        <v>44</v>
      </c>
      <c r="E135" s="19" t="s">
        <v>67</v>
      </c>
      <c r="F135" s="19" t="s">
        <v>19</v>
      </c>
      <c r="G135" s="19" t="s">
        <v>20</v>
      </c>
      <c r="H135" s="19">
        <v>71.239999999999995</v>
      </c>
      <c r="I135" s="19">
        <v>306.33</v>
      </c>
      <c r="J135" s="19">
        <v>4299.9799999999996</v>
      </c>
      <c r="K135" s="19" t="s">
        <v>34</v>
      </c>
      <c r="L135" s="19" t="s">
        <v>41</v>
      </c>
      <c r="M135" s="19">
        <v>272.83</v>
      </c>
      <c r="N135" s="19">
        <v>1051.3599999999999</v>
      </c>
      <c r="O135" s="19" t="s">
        <v>42</v>
      </c>
      <c r="P135" s="21">
        <v>31.91</v>
      </c>
    </row>
    <row r="136" spans="1:16" x14ac:dyDescent="0.3">
      <c r="A136" s="17" t="s">
        <v>200</v>
      </c>
      <c r="B136" s="18">
        <v>44735</v>
      </c>
      <c r="C136" s="19">
        <v>2022</v>
      </c>
      <c r="D136" s="20" t="s">
        <v>25</v>
      </c>
      <c r="E136" s="19" t="s">
        <v>26</v>
      </c>
      <c r="F136" s="19" t="s">
        <v>33</v>
      </c>
      <c r="G136" s="19" t="s">
        <v>56</v>
      </c>
      <c r="H136" s="19">
        <v>79.25</v>
      </c>
      <c r="I136" s="19">
        <v>91.75</v>
      </c>
      <c r="J136" s="19">
        <v>1157.7</v>
      </c>
      <c r="K136" s="19" t="s">
        <v>34</v>
      </c>
      <c r="L136" s="19" t="s">
        <v>22</v>
      </c>
      <c r="M136" s="19">
        <v>166.85</v>
      </c>
      <c r="N136" s="19">
        <v>1183.01</v>
      </c>
      <c r="O136" s="19" t="s">
        <v>42</v>
      </c>
      <c r="P136" s="21">
        <v>29.18</v>
      </c>
    </row>
    <row r="137" spans="1:16" x14ac:dyDescent="0.3">
      <c r="A137" s="17" t="s">
        <v>201</v>
      </c>
      <c r="B137" s="18">
        <v>44330</v>
      </c>
      <c r="C137" s="19">
        <v>2021</v>
      </c>
      <c r="D137" s="20" t="s">
        <v>31</v>
      </c>
      <c r="E137" s="19" t="s">
        <v>32</v>
      </c>
      <c r="F137" s="19" t="s">
        <v>19</v>
      </c>
      <c r="G137" s="19" t="s">
        <v>46</v>
      </c>
      <c r="H137" s="19">
        <v>53.04</v>
      </c>
      <c r="I137" s="19">
        <v>297.82</v>
      </c>
      <c r="J137" s="19">
        <v>5614.99</v>
      </c>
      <c r="K137" s="19" t="s">
        <v>21</v>
      </c>
      <c r="L137" s="19" t="s">
        <v>47</v>
      </c>
      <c r="M137" s="19">
        <v>81.33</v>
      </c>
      <c r="N137" s="19">
        <v>517.03</v>
      </c>
      <c r="O137" s="19" t="s">
        <v>23</v>
      </c>
      <c r="P137" s="21">
        <v>26.75</v>
      </c>
    </row>
    <row r="138" spans="1:16" x14ac:dyDescent="0.3">
      <c r="A138" s="17" t="s">
        <v>202</v>
      </c>
      <c r="B138" s="18">
        <v>44685</v>
      </c>
      <c r="C138" s="19">
        <v>2022</v>
      </c>
      <c r="D138" s="20" t="s">
        <v>31</v>
      </c>
      <c r="E138" s="19" t="s">
        <v>82</v>
      </c>
      <c r="F138" s="19" t="s">
        <v>19</v>
      </c>
      <c r="G138" s="19" t="s">
        <v>39</v>
      </c>
      <c r="H138" s="19">
        <v>59.19</v>
      </c>
      <c r="I138" s="19">
        <v>331.86</v>
      </c>
      <c r="J138" s="19">
        <v>5606.69</v>
      </c>
      <c r="K138" s="19" t="s">
        <v>40</v>
      </c>
      <c r="L138" s="19" t="s">
        <v>41</v>
      </c>
      <c r="M138" s="19">
        <v>158.15</v>
      </c>
      <c r="N138" s="19">
        <v>1110.71</v>
      </c>
      <c r="O138" s="19" t="s">
        <v>23</v>
      </c>
      <c r="P138" s="21">
        <v>32.47</v>
      </c>
    </row>
    <row r="139" spans="1:16" x14ac:dyDescent="0.3">
      <c r="A139" s="17" t="s">
        <v>203</v>
      </c>
      <c r="B139" s="18">
        <v>41291</v>
      </c>
      <c r="C139" s="19">
        <v>2012</v>
      </c>
      <c r="D139" s="20" t="s">
        <v>31</v>
      </c>
      <c r="E139" s="19" t="s">
        <v>82</v>
      </c>
      <c r="F139" s="19" t="s">
        <v>38</v>
      </c>
      <c r="G139" s="19" t="s">
        <v>39</v>
      </c>
      <c r="H139" s="19">
        <v>23.32</v>
      </c>
      <c r="I139" s="19">
        <v>155.88999999999999</v>
      </c>
      <c r="J139" s="19">
        <v>6684.9</v>
      </c>
      <c r="K139" s="19" t="s">
        <v>34</v>
      </c>
      <c r="L139" s="19" t="s">
        <v>47</v>
      </c>
      <c r="M139" s="19">
        <v>261.48</v>
      </c>
      <c r="N139" s="19">
        <v>450.61</v>
      </c>
      <c r="O139" s="19" t="s">
        <v>61</v>
      </c>
      <c r="P139" s="21">
        <v>24.12</v>
      </c>
    </row>
    <row r="140" spans="1:16" x14ac:dyDescent="0.3">
      <c r="A140" s="17" t="s">
        <v>204</v>
      </c>
      <c r="B140" s="18">
        <v>43250</v>
      </c>
      <c r="C140" s="19">
        <v>2018</v>
      </c>
      <c r="D140" s="20" t="s">
        <v>59</v>
      </c>
      <c r="E140" s="19" t="s">
        <v>60</v>
      </c>
      <c r="F140" s="19" t="s">
        <v>19</v>
      </c>
      <c r="G140" s="19" t="s">
        <v>56</v>
      </c>
      <c r="H140" s="19">
        <v>59.59</v>
      </c>
      <c r="I140" s="19">
        <v>267.19</v>
      </c>
      <c r="J140" s="19">
        <v>4483.88</v>
      </c>
      <c r="K140" s="19" t="s">
        <v>40</v>
      </c>
      <c r="L140" s="19" t="s">
        <v>47</v>
      </c>
      <c r="M140" s="19">
        <v>214.68</v>
      </c>
      <c r="N140" s="19">
        <v>920.63</v>
      </c>
      <c r="O140" s="19" t="s">
        <v>61</v>
      </c>
      <c r="P140" s="21">
        <v>25.06</v>
      </c>
    </row>
    <row r="141" spans="1:16" x14ac:dyDescent="0.3">
      <c r="A141" s="17" t="s">
        <v>205</v>
      </c>
      <c r="B141" s="18">
        <v>40834</v>
      </c>
      <c r="C141" s="19">
        <v>2011</v>
      </c>
      <c r="D141" s="20" t="s">
        <v>25</v>
      </c>
      <c r="E141" s="19" t="s">
        <v>26</v>
      </c>
      <c r="F141" s="19" t="s">
        <v>33</v>
      </c>
      <c r="G141" s="19" t="s">
        <v>39</v>
      </c>
      <c r="H141" s="19">
        <v>77.33</v>
      </c>
      <c r="I141" s="19">
        <v>200.13</v>
      </c>
      <c r="J141" s="19">
        <v>2587.94</v>
      </c>
      <c r="K141" s="19" t="s">
        <v>40</v>
      </c>
      <c r="L141" s="19" t="s">
        <v>49</v>
      </c>
      <c r="M141" s="19">
        <v>241.74</v>
      </c>
      <c r="N141" s="19">
        <v>616.59</v>
      </c>
      <c r="O141" s="19" t="s">
        <v>23</v>
      </c>
      <c r="P141" s="21">
        <v>27.47</v>
      </c>
    </row>
    <row r="142" spans="1:16" x14ac:dyDescent="0.3">
      <c r="A142" s="17" t="s">
        <v>206</v>
      </c>
      <c r="B142" s="18">
        <v>42923</v>
      </c>
      <c r="C142" s="19">
        <v>2017</v>
      </c>
      <c r="D142" s="20" t="s">
        <v>17</v>
      </c>
      <c r="E142" s="19" t="s">
        <v>72</v>
      </c>
      <c r="F142" s="19" t="s">
        <v>33</v>
      </c>
      <c r="G142" s="19" t="s">
        <v>39</v>
      </c>
      <c r="H142" s="19">
        <v>41.2</v>
      </c>
      <c r="I142" s="19">
        <v>153.32</v>
      </c>
      <c r="J142" s="19">
        <v>3721.26</v>
      </c>
      <c r="K142" s="19" t="s">
        <v>21</v>
      </c>
      <c r="L142" s="19" t="s">
        <v>49</v>
      </c>
      <c r="M142" s="19">
        <v>89.52</v>
      </c>
      <c r="N142" s="19">
        <v>615.62</v>
      </c>
      <c r="O142" s="19" t="s">
        <v>52</v>
      </c>
      <c r="P142" s="21">
        <v>23.06</v>
      </c>
    </row>
    <row r="143" spans="1:16" x14ac:dyDescent="0.3">
      <c r="A143" s="17" t="s">
        <v>207</v>
      </c>
      <c r="B143" s="18">
        <v>42112</v>
      </c>
      <c r="C143" s="19">
        <v>2015</v>
      </c>
      <c r="D143" s="20" t="s">
        <v>44</v>
      </c>
      <c r="E143" s="19" t="s">
        <v>67</v>
      </c>
      <c r="F143" s="19" t="s">
        <v>19</v>
      </c>
      <c r="G143" s="19" t="s">
        <v>20</v>
      </c>
      <c r="H143" s="19">
        <v>97.56</v>
      </c>
      <c r="I143" s="19">
        <v>174.11</v>
      </c>
      <c r="J143" s="19">
        <v>1784.6</v>
      </c>
      <c r="K143" s="19" t="s">
        <v>34</v>
      </c>
      <c r="L143" s="19" t="s">
        <v>29</v>
      </c>
      <c r="M143" s="19">
        <v>178.75</v>
      </c>
      <c r="N143" s="19">
        <v>306.18</v>
      </c>
      <c r="O143" s="19" t="s">
        <v>42</v>
      </c>
      <c r="P143" s="21">
        <v>27</v>
      </c>
    </row>
    <row r="144" spans="1:16" x14ac:dyDescent="0.3">
      <c r="A144" s="17" t="s">
        <v>208</v>
      </c>
      <c r="B144" s="18">
        <v>40842</v>
      </c>
      <c r="C144" s="19">
        <v>2011</v>
      </c>
      <c r="D144" s="20" t="s">
        <v>103</v>
      </c>
      <c r="E144" s="19" t="s">
        <v>104</v>
      </c>
      <c r="F144" s="19" t="s">
        <v>33</v>
      </c>
      <c r="G144" s="19" t="s">
        <v>20</v>
      </c>
      <c r="H144" s="19">
        <v>94.59</v>
      </c>
      <c r="I144" s="19">
        <v>585.04</v>
      </c>
      <c r="J144" s="19">
        <v>6184.98</v>
      </c>
      <c r="K144" s="19" t="s">
        <v>28</v>
      </c>
      <c r="L144" s="19" t="s">
        <v>49</v>
      </c>
      <c r="M144" s="19">
        <v>112.07</v>
      </c>
      <c r="N144" s="19">
        <v>1065.31</v>
      </c>
      <c r="O144" s="19" t="s">
        <v>42</v>
      </c>
      <c r="P144" s="21">
        <v>32.200000000000003</v>
      </c>
    </row>
    <row r="145" spans="1:16" x14ac:dyDescent="0.3">
      <c r="A145" s="17" t="s">
        <v>209</v>
      </c>
      <c r="B145" s="18">
        <v>42839</v>
      </c>
      <c r="C145" s="19">
        <v>2017</v>
      </c>
      <c r="D145" s="20" t="s">
        <v>103</v>
      </c>
      <c r="E145" s="19" t="s">
        <v>104</v>
      </c>
      <c r="F145" s="19" t="s">
        <v>19</v>
      </c>
      <c r="G145" s="19" t="s">
        <v>46</v>
      </c>
      <c r="H145" s="19">
        <v>50.38</v>
      </c>
      <c r="I145" s="19">
        <v>143.65</v>
      </c>
      <c r="J145" s="19">
        <v>2851.24</v>
      </c>
      <c r="K145" s="19" t="s">
        <v>21</v>
      </c>
      <c r="L145" s="19" t="s">
        <v>47</v>
      </c>
      <c r="M145" s="19">
        <v>72.510000000000005</v>
      </c>
      <c r="N145" s="19">
        <v>593.24</v>
      </c>
      <c r="O145" s="19" t="s">
        <v>52</v>
      </c>
      <c r="P145" s="21">
        <v>34.5</v>
      </c>
    </row>
    <row r="146" spans="1:16" x14ac:dyDescent="0.3">
      <c r="A146" s="17" t="s">
        <v>210</v>
      </c>
      <c r="B146" s="18">
        <v>40550</v>
      </c>
      <c r="C146" s="19">
        <v>2010</v>
      </c>
      <c r="D146" s="20" t="s">
        <v>31</v>
      </c>
      <c r="E146" s="19" t="s">
        <v>82</v>
      </c>
      <c r="F146" s="19" t="s">
        <v>38</v>
      </c>
      <c r="G146" s="19" t="s">
        <v>46</v>
      </c>
      <c r="H146" s="19">
        <v>60.15</v>
      </c>
      <c r="I146" s="19">
        <v>364.33</v>
      </c>
      <c r="J146" s="19">
        <v>6057.1</v>
      </c>
      <c r="K146" s="19" t="s">
        <v>28</v>
      </c>
      <c r="L146" s="19" t="s">
        <v>49</v>
      </c>
      <c r="M146" s="19">
        <v>121.44</v>
      </c>
      <c r="N146" s="19">
        <v>208.18</v>
      </c>
      <c r="O146" s="19" t="s">
        <v>23</v>
      </c>
      <c r="P146" s="21">
        <v>26.46</v>
      </c>
    </row>
    <row r="147" spans="1:16" x14ac:dyDescent="0.3">
      <c r="A147" s="17" t="s">
        <v>211</v>
      </c>
      <c r="B147" s="18">
        <v>42296</v>
      </c>
      <c r="C147" s="19">
        <v>2015</v>
      </c>
      <c r="D147" s="20" t="s">
        <v>44</v>
      </c>
      <c r="E147" s="19" t="s">
        <v>99</v>
      </c>
      <c r="F147" s="19" t="s">
        <v>33</v>
      </c>
      <c r="G147" s="19" t="s">
        <v>46</v>
      </c>
      <c r="H147" s="19">
        <v>6.06</v>
      </c>
      <c r="I147" s="19">
        <v>26.49</v>
      </c>
      <c r="J147" s="19">
        <v>4370.8999999999996</v>
      </c>
      <c r="K147" s="19" t="s">
        <v>34</v>
      </c>
      <c r="L147" s="19" t="s">
        <v>49</v>
      </c>
      <c r="M147" s="19">
        <v>188.31</v>
      </c>
      <c r="N147" s="19">
        <v>273.52999999999997</v>
      </c>
      <c r="O147" s="19" t="s">
        <v>61</v>
      </c>
      <c r="P147" s="21">
        <v>26.76</v>
      </c>
    </row>
    <row r="148" spans="1:16" x14ac:dyDescent="0.3">
      <c r="A148" s="17" t="s">
        <v>212</v>
      </c>
      <c r="B148" s="18">
        <v>43934</v>
      </c>
      <c r="C148" s="19">
        <v>2020</v>
      </c>
      <c r="D148" s="20" t="s">
        <v>44</v>
      </c>
      <c r="E148" s="19" t="s">
        <v>67</v>
      </c>
      <c r="F148" s="19" t="s">
        <v>19</v>
      </c>
      <c r="G148" s="19" t="s">
        <v>64</v>
      </c>
      <c r="H148" s="19">
        <v>13.74</v>
      </c>
      <c r="I148" s="19">
        <v>21.71</v>
      </c>
      <c r="J148" s="19">
        <v>1580.09</v>
      </c>
      <c r="K148" s="19" t="s">
        <v>34</v>
      </c>
      <c r="L148" s="19" t="s">
        <v>47</v>
      </c>
      <c r="M148" s="19">
        <v>248.72</v>
      </c>
      <c r="N148" s="19">
        <v>539.09</v>
      </c>
      <c r="O148" s="19" t="s">
        <v>70</v>
      </c>
      <c r="P148" s="21">
        <v>31.32</v>
      </c>
    </row>
    <row r="149" spans="1:16" x14ac:dyDescent="0.3">
      <c r="A149" s="17" t="s">
        <v>213</v>
      </c>
      <c r="B149" s="18">
        <v>43333</v>
      </c>
      <c r="C149" s="19">
        <v>2018</v>
      </c>
      <c r="D149" s="20" t="s">
        <v>59</v>
      </c>
      <c r="E149" s="19" t="s">
        <v>63</v>
      </c>
      <c r="F149" s="19" t="s">
        <v>33</v>
      </c>
      <c r="G149" s="19" t="s">
        <v>64</v>
      </c>
      <c r="H149" s="19">
        <v>4.8499999999999996</v>
      </c>
      <c r="I149" s="19">
        <v>25.62</v>
      </c>
      <c r="J149" s="19">
        <v>5281.55</v>
      </c>
      <c r="K149" s="19" t="s">
        <v>28</v>
      </c>
      <c r="L149" s="19" t="s">
        <v>41</v>
      </c>
      <c r="M149" s="19">
        <v>179.83</v>
      </c>
      <c r="N149" s="19">
        <v>348.94</v>
      </c>
      <c r="O149" s="19" t="s">
        <v>61</v>
      </c>
      <c r="P149" s="21">
        <v>22.1</v>
      </c>
    </row>
    <row r="150" spans="1:16" x14ac:dyDescent="0.3">
      <c r="A150" s="17" t="s">
        <v>214</v>
      </c>
      <c r="B150" s="18">
        <v>44529</v>
      </c>
      <c r="C150" s="19">
        <v>2021</v>
      </c>
      <c r="D150" s="20" t="s">
        <v>36</v>
      </c>
      <c r="E150" s="19" t="s">
        <v>77</v>
      </c>
      <c r="F150" s="19" t="s">
        <v>38</v>
      </c>
      <c r="G150" s="19" t="s">
        <v>27</v>
      </c>
      <c r="H150" s="19">
        <v>34.299999999999997</v>
      </c>
      <c r="I150" s="19">
        <v>204.76</v>
      </c>
      <c r="J150" s="19">
        <v>5969.74</v>
      </c>
      <c r="K150" s="19" t="s">
        <v>28</v>
      </c>
      <c r="L150" s="19" t="s">
        <v>29</v>
      </c>
      <c r="M150" s="19">
        <v>227.18</v>
      </c>
      <c r="N150" s="19">
        <v>499.79</v>
      </c>
      <c r="O150" s="19" t="s">
        <v>23</v>
      </c>
      <c r="P150" s="21">
        <v>25.53</v>
      </c>
    </row>
    <row r="151" spans="1:16" x14ac:dyDescent="0.3">
      <c r="A151" s="17" t="s">
        <v>215</v>
      </c>
      <c r="B151" s="18">
        <v>44698</v>
      </c>
      <c r="C151" s="19">
        <v>2022</v>
      </c>
      <c r="D151" s="20" t="s">
        <v>59</v>
      </c>
      <c r="E151" s="19" t="s">
        <v>63</v>
      </c>
      <c r="F151" s="19" t="s">
        <v>19</v>
      </c>
      <c r="G151" s="19" t="s">
        <v>39</v>
      </c>
      <c r="H151" s="19">
        <v>63.3</v>
      </c>
      <c r="I151" s="19">
        <v>290.01</v>
      </c>
      <c r="J151" s="19">
        <v>4581.46</v>
      </c>
      <c r="K151" s="19" t="s">
        <v>34</v>
      </c>
      <c r="L151" s="19" t="s">
        <v>22</v>
      </c>
      <c r="M151" s="19">
        <v>291.77</v>
      </c>
      <c r="N151" s="19">
        <v>982.9</v>
      </c>
      <c r="O151" s="19" t="s">
        <v>61</v>
      </c>
      <c r="P151" s="21">
        <v>28.66</v>
      </c>
    </row>
    <row r="152" spans="1:16" x14ac:dyDescent="0.3">
      <c r="A152" s="17" t="s">
        <v>216</v>
      </c>
      <c r="B152" s="18">
        <v>41044</v>
      </c>
      <c r="C152" s="19">
        <v>2012</v>
      </c>
      <c r="D152" s="20" t="s">
        <v>59</v>
      </c>
      <c r="E152" s="19" t="s">
        <v>63</v>
      </c>
      <c r="F152" s="19" t="s">
        <v>19</v>
      </c>
      <c r="G152" s="19" t="s">
        <v>39</v>
      </c>
      <c r="H152" s="19">
        <v>72.400000000000006</v>
      </c>
      <c r="I152" s="19">
        <v>408.89</v>
      </c>
      <c r="J152" s="19">
        <v>5647.64</v>
      </c>
      <c r="K152" s="19" t="s">
        <v>28</v>
      </c>
      <c r="L152" s="19" t="s">
        <v>22</v>
      </c>
      <c r="M152" s="19">
        <v>86.94</v>
      </c>
      <c r="N152" s="19">
        <v>880.73</v>
      </c>
      <c r="O152" s="19" t="s">
        <v>23</v>
      </c>
      <c r="P152" s="21">
        <v>28.59</v>
      </c>
    </row>
    <row r="153" spans="1:16" x14ac:dyDescent="0.3">
      <c r="A153" s="17" t="s">
        <v>217</v>
      </c>
      <c r="B153" s="18">
        <v>43055</v>
      </c>
      <c r="C153" s="19">
        <v>2017</v>
      </c>
      <c r="D153" s="20" t="s">
        <v>103</v>
      </c>
      <c r="E153" s="19" t="s">
        <v>104</v>
      </c>
      <c r="F153" s="19" t="s">
        <v>38</v>
      </c>
      <c r="G153" s="19" t="s">
        <v>46</v>
      </c>
      <c r="H153" s="19">
        <v>15.99</v>
      </c>
      <c r="I153" s="19">
        <v>82.24</v>
      </c>
      <c r="J153" s="19">
        <v>5143</v>
      </c>
      <c r="K153" s="19" t="s">
        <v>28</v>
      </c>
      <c r="L153" s="19" t="s">
        <v>41</v>
      </c>
      <c r="M153" s="19">
        <v>175.45</v>
      </c>
      <c r="N153" s="19">
        <v>811.48</v>
      </c>
      <c r="O153" s="19" t="s">
        <v>52</v>
      </c>
      <c r="P153" s="21">
        <v>33.090000000000003</v>
      </c>
    </row>
    <row r="154" spans="1:16" x14ac:dyDescent="0.3">
      <c r="A154" s="17" t="s">
        <v>218</v>
      </c>
      <c r="B154" s="18">
        <v>43472</v>
      </c>
      <c r="C154" s="19">
        <v>2018</v>
      </c>
      <c r="D154" s="20" t="s">
        <v>59</v>
      </c>
      <c r="E154" s="19" t="s">
        <v>60</v>
      </c>
      <c r="F154" s="19" t="s">
        <v>38</v>
      </c>
      <c r="G154" s="19" t="s">
        <v>39</v>
      </c>
      <c r="H154" s="19">
        <v>48.36</v>
      </c>
      <c r="I154" s="19">
        <v>157.69999999999999</v>
      </c>
      <c r="J154" s="19">
        <v>3260.95</v>
      </c>
      <c r="K154" s="19" t="s">
        <v>40</v>
      </c>
      <c r="L154" s="19" t="s">
        <v>47</v>
      </c>
      <c r="M154" s="19">
        <v>164.92</v>
      </c>
      <c r="N154" s="19">
        <v>733.13</v>
      </c>
      <c r="O154" s="19" t="s">
        <v>61</v>
      </c>
      <c r="P154" s="21">
        <v>25.31</v>
      </c>
    </row>
    <row r="155" spans="1:16" x14ac:dyDescent="0.3">
      <c r="A155" s="17" t="s">
        <v>219</v>
      </c>
      <c r="B155" s="18">
        <v>41668</v>
      </c>
      <c r="C155" s="19">
        <v>2013</v>
      </c>
      <c r="D155" s="20" t="s">
        <v>36</v>
      </c>
      <c r="E155" s="19" t="s">
        <v>37</v>
      </c>
      <c r="F155" s="19" t="s">
        <v>38</v>
      </c>
      <c r="G155" s="19" t="s">
        <v>27</v>
      </c>
      <c r="H155" s="19">
        <v>30.55</v>
      </c>
      <c r="I155" s="19">
        <v>203.12</v>
      </c>
      <c r="J155" s="19">
        <v>6648.91</v>
      </c>
      <c r="K155" s="19" t="s">
        <v>34</v>
      </c>
      <c r="L155" s="19" t="s">
        <v>47</v>
      </c>
      <c r="M155" s="19">
        <v>242.79</v>
      </c>
      <c r="N155" s="19">
        <v>904.9</v>
      </c>
      <c r="O155" s="19" t="s">
        <v>52</v>
      </c>
      <c r="P155" s="21">
        <v>24.76</v>
      </c>
    </row>
    <row r="156" spans="1:16" x14ac:dyDescent="0.3">
      <c r="A156" s="17" t="s">
        <v>220</v>
      </c>
      <c r="B156" s="18">
        <v>42017</v>
      </c>
      <c r="C156" s="19">
        <v>2014</v>
      </c>
      <c r="D156" s="20" t="s">
        <v>44</v>
      </c>
      <c r="E156" s="19" t="s">
        <v>67</v>
      </c>
      <c r="F156" s="19" t="s">
        <v>38</v>
      </c>
      <c r="G156" s="19" t="s">
        <v>64</v>
      </c>
      <c r="H156" s="19">
        <v>57.77</v>
      </c>
      <c r="I156" s="19">
        <v>246.05</v>
      </c>
      <c r="J156" s="19">
        <v>4259.1499999999996</v>
      </c>
      <c r="K156" s="19" t="s">
        <v>28</v>
      </c>
      <c r="L156" s="19" t="s">
        <v>22</v>
      </c>
      <c r="M156" s="19">
        <v>254.59</v>
      </c>
      <c r="N156" s="19">
        <v>1154.6099999999999</v>
      </c>
      <c r="O156" s="19" t="s">
        <v>42</v>
      </c>
      <c r="P156" s="21">
        <v>24.36</v>
      </c>
    </row>
    <row r="157" spans="1:16" x14ac:dyDescent="0.3">
      <c r="A157" s="17" t="s">
        <v>221</v>
      </c>
      <c r="B157" s="18">
        <v>44286</v>
      </c>
      <c r="C157" s="19">
        <v>2020</v>
      </c>
      <c r="D157" s="20" t="s">
        <v>31</v>
      </c>
      <c r="E157" s="19" t="s">
        <v>32</v>
      </c>
      <c r="F157" s="19" t="s">
        <v>38</v>
      </c>
      <c r="G157" s="19" t="s">
        <v>39</v>
      </c>
      <c r="H157" s="19">
        <v>48.43</v>
      </c>
      <c r="I157" s="19">
        <v>107.15</v>
      </c>
      <c r="J157" s="19">
        <v>2212.41</v>
      </c>
      <c r="K157" s="19" t="s">
        <v>34</v>
      </c>
      <c r="L157" s="19" t="s">
        <v>41</v>
      </c>
      <c r="M157" s="19">
        <v>283.26</v>
      </c>
      <c r="N157" s="19">
        <v>896.17</v>
      </c>
      <c r="O157" s="19" t="s">
        <v>42</v>
      </c>
      <c r="P157" s="21">
        <v>21.64</v>
      </c>
    </row>
    <row r="158" spans="1:16" x14ac:dyDescent="0.3">
      <c r="A158" s="17" t="s">
        <v>222</v>
      </c>
      <c r="B158" s="18">
        <v>43957</v>
      </c>
      <c r="C158" s="19">
        <v>2020</v>
      </c>
      <c r="D158" s="20" t="s">
        <v>103</v>
      </c>
      <c r="E158" s="19" t="s">
        <v>104</v>
      </c>
      <c r="F158" s="19" t="s">
        <v>19</v>
      </c>
      <c r="G158" s="19" t="s">
        <v>56</v>
      </c>
      <c r="H158" s="19">
        <v>64.16</v>
      </c>
      <c r="I158" s="19">
        <v>84.37</v>
      </c>
      <c r="J158" s="19">
        <v>1314.95</v>
      </c>
      <c r="K158" s="19" t="s">
        <v>28</v>
      </c>
      <c r="L158" s="19" t="s">
        <v>41</v>
      </c>
      <c r="M158" s="19">
        <v>132.57</v>
      </c>
      <c r="N158" s="19">
        <v>672.4</v>
      </c>
      <c r="O158" s="19" t="s">
        <v>42</v>
      </c>
      <c r="P158" s="21">
        <v>20.079999999999998</v>
      </c>
    </row>
    <row r="159" spans="1:16" x14ac:dyDescent="0.3">
      <c r="A159" s="17" t="s">
        <v>223</v>
      </c>
      <c r="B159" s="18">
        <v>43099</v>
      </c>
      <c r="C159" s="19">
        <v>2017</v>
      </c>
      <c r="D159" s="20" t="s">
        <v>36</v>
      </c>
      <c r="E159" s="19" t="s">
        <v>77</v>
      </c>
      <c r="F159" s="19" t="s">
        <v>38</v>
      </c>
      <c r="G159" s="19" t="s">
        <v>39</v>
      </c>
      <c r="H159" s="19">
        <v>20.75</v>
      </c>
      <c r="I159" s="19">
        <v>140.76</v>
      </c>
      <c r="J159" s="19">
        <v>6783.48</v>
      </c>
      <c r="K159" s="19" t="s">
        <v>34</v>
      </c>
      <c r="L159" s="19" t="s">
        <v>47</v>
      </c>
      <c r="M159" s="19">
        <v>121.35</v>
      </c>
      <c r="N159" s="19">
        <v>259.16000000000003</v>
      </c>
      <c r="O159" s="19" t="s">
        <v>23</v>
      </c>
      <c r="P159" s="21">
        <v>29.78</v>
      </c>
    </row>
    <row r="160" spans="1:16" x14ac:dyDescent="0.3">
      <c r="A160" s="17" t="s">
        <v>224</v>
      </c>
      <c r="B160" s="18">
        <v>40404</v>
      </c>
      <c r="C160" s="19">
        <v>2010</v>
      </c>
      <c r="D160" s="20" t="s">
        <v>17</v>
      </c>
      <c r="E160" s="19" t="s">
        <v>54</v>
      </c>
      <c r="F160" s="19" t="s">
        <v>33</v>
      </c>
      <c r="G160" s="19" t="s">
        <v>46</v>
      </c>
      <c r="H160" s="19">
        <v>88.34</v>
      </c>
      <c r="I160" s="19">
        <v>181.51</v>
      </c>
      <c r="J160" s="19">
        <v>2054.73</v>
      </c>
      <c r="K160" s="19" t="s">
        <v>21</v>
      </c>
      <c r="L160" s="19" t="s">
        <v>22</v>
      </c>
      <c r="M160" s="19">
        <v>299.29000000000002</v>
      </c>
      <c r="N160" s="19">
        <v>596.99</v>
      </c>
      <c r="O160" s="19" t="s">
        <v>52</v>
      </c>
      <c r="P160" s="21">
        <v>22.79</v>
      </c>
    </row>
    <row r="161" spans="1:16" x14ac:dyDescent="0.3">
      <c r="A161" s="17" t="s">
        <v>225</v>
      </c>
      <c r="B161" s="18">
        <v>43564</v>
      </c>
      <c r="C161" s="19">
        <v>2019</v>
      </c>
      <c r="D161" s="20" t="s">
        <v>25</v>
      </c>
      <c r="E161" s="19" t="s">
        <v>87</v>
      </c>
      <c r="F161" s="19" t="s">
        <v>19</v>
      </c>
      <c r="G161" s="19" t="s">
        <v>64</v>
      </c>
      <c r="H161" s="19">
        <v>92.92</v>
      </c>
      <c r="I161" s="19">
        <v>279.70999999999998</v>
      </c>
      <c r="J161" s="19">
        <v>3010.25</v>
      </c>
      <c r="K161" s="19" t="s">
        <v>28</v>
      </c>
      <c r="L161" s="19" t="s">
        <v>47</v>
      </c>
      <c r="M161" s="19">
        <v>297.27</v>
      </c>
      <c r="N161" s="19">
        <v>743.3</v>
      </c>
      <c r="O161" s="19" t="s">
        <v>52</v>
      </c>
      <c r="P161" s="21">
        <v>33.340000000000003</v>
      </c>
    </row>
    <row r="162" spans="1:16" x14ac:dyDescent="0.3">
      <c r="A162" s="17" t="s">
        <v>226</v>
      </c>
      <c r="B162" s="18">
        <v>41571</v>
      </c>
      <c r="C162" s="19">
        <v>2013</v>
      </c>
      <c r="D162" s="20" t="s">
        <v>36</v>
      </c>
      <c r="E162" s="19" t="s">
        <v>51</v>
      </c>
      <c r="F162" s="19" t="s">
        <v>33</v>
      </c>
      <c r="G162" s="19" t="s">
        <v>20</v>
      </c>
      <c r="H162" s="19">
        <v>17.09</v>
      </c>
      <c r="I162" s="19">
        <v>64.150000000000006</v>
      </c>
      <c r="J162" s="19">
        <v>3753.49</v>
      </c>
      <c r="K162" s="19" t="s">
        <v>34</v>
      </c>
      <c r="L162" s="19" t="s">
        <v>41</v>
      </c>
      <c r="M162" s="19">
        <v>229.65</v>
      </c>
      <c r="N162" s="19">
        <v>214.08</v>
      </c>
      <c r="O162" s="19" t="s">
        <v>70</v>
      </c>
      <c r="P162" s="21">
        <v>31.86</v>
      </c>
    </row>
    <row r="163" spans="1:16" x14ac:dyDescent="0.3">
      <c r="A163" s="17" t="s">
        <v>227</v>
      </c>
      <c r="B163" s="18">
        <v>44137</v>
      </c>
      <c r="C163" s="19">
        <v>2020</v>
      </c>
      <c r="D163" s="20" t="s">
        <v>103</v>
      </c>
      <c r="E163" s="19" t="s">
        <v>228</v>
      </c>
      <c r="F163" s="19" t="s">
        <v>38</v>
      </c>
      <c r="G163" s="19" t="s">
        <v>46</v>
      </c>
      <c r="H163" s="19">
        <v>52.01</v>
      </c>
      <c r="I163" s="19">
        <v>79.08</v>
      </c>
      <c r="J163" s="19">
        <v>1520.43</v>
      </c>
      <c r="K163" s="19" t="s">
        <v>21</v>
      </c>
      <c r="L163" s="19" t="s">
        <v>49</v>
      </c>
      <c r="M163" s="19">
        <v>96.2</v>
      </c>
      <c r="N163" s="19">
        <v>340.61</v>
      </c>
      <c r="O163" s="19" t="s">
        <v>70</v>
      </c>
      <c r="P163" s="21">
        <v>34.04</v>
      </c>
    </row>
    <row r="164" spans="1:16" x14ac:dyDescent="0.3">
      <c r="A164" s="17" t="s">
        <v>229</v>
      </c>
      <c r="B164" s="18">
        <v>43070</v>
      </c>
      <c r="C164" s="19">
        <v>2017</v>
      </c>
      <c r="D164" s="20" t="s">
        <v>36</v>
      </c>
      <c r="E164" s="19" t="s">
        <v>37</v>
      </c>
      <c r="F164" s="19" t="s">
        <v>38</v>
      </c>
      <c r="G164" s="19" t="s">
        <v>20</v>
      </c>
      <c r="H164" s="19">
        <v>30.89</v>
      </c>
      <c r="I164" s="19">
        <v>164.87</v>
      </c>
      <c r="J164" s="19">
        <v>5337.3</v>
      </c>
      <c r="K164" s="19" t="s">
        <v>21</v>
      </c>
      <c r="L164" s="19" t="s">
        <v>29</v>
      </c>
      <c r="M164" s="19">
        <v>115.39</v>
      </c>
      <c r="N164" s="19">
        <v>559.54999999999995</v>
      </c>
      <c r="O164" s="19" t="s">
        <v>42</v>
      </c>
      <c r="P164" s="21">
        <v>20.93</v>
      </c>
    </row>
    <row r="165" spans="1:16" x14ac:dyDescent="0.3">
      <c r="A165" s="17" t="s">
        <v>230</v>
      </c>
      <c r="B165" s="18">
        <v>42475</v>
      </c>
      <c r="C165" s="19">
        <v>2016</v>
      </c>
      <c r="D165" s="20" t="s">
        <v>31</v>
      </c>
      <c r="E165" s="19" t="s">
        <v>82</v>
      </c>
      <c r="F165" s="19" t="s">
        <v>19</v>
      </c>
      <c r="G165" s="19" t="s">
        <v>27</v>
      </c>
      <c r="H165" s="19">
        <v>92.39</v>
      </c>
      <c r="I165" s="19">
        <v>584.53</v>
      </c>
      <c r="J165" s="19">
        <v>6326.81</v>
      </c>
      <c r="K165" s="19" t="s">
        <v>34</v>
      </c>
      <c r="L165" s="19" t="s">
        <v>41</v>
      </c>
      <c r="M165" s="19">
        <v>222.57</v>
      </c>
      <c r="N165" s="19">
        <v>838.71</v>
      </c>
      <c r="O165" s="19" t="s">
        <v>70</v>
      </c>
      <c r="P165" s="21">
        <v>25.51</v>
      </c>
    </row>
    <row r="166" spans="1:16" x14ac:dyDescent="0.3">
      <c r="A166" s="17" t="s">
        <v>231</v>
      </c>
      <c r="B166" s="18">
        <v>41234</v>
      </c>
      <c r="C166" s="19">
        <v>2012</v>
      </c>
      <c r="D166" s="20" t="s">
        <v>103</v>
      </c>
      <c r="E166" s="19" t="s">
        <v>107</v>
      </c>
      <c r="F166" s="19" t="s">
        <v>38</v>
      </c>
      <c r="G166" s="19" t="s">
        <v>39</v>
      </c>
      <c r="H166" s="19">
        <v>98.89</v>
      </c>
      <c r="I166" s="19">
        <v>320.58</v>
      </c>
      <c r="J166" s="19">
        <v>3241.75</v>
      </c>
      <c r="K166" s="19" t="s">
        <v>28</v>
      </c>
      <c r="L166" s="19" t="s">
        <v>47</v>
      </c>
      <c r="M166" s="19">
        <v>239.34</v>
      </c>
      <c r="N166" s="19">
        <v>1001.99</v>
      </c>
      <c r="O166" s="19" t="s">
        <v>42</v>
      </c>
      <c r="P166" s="21">
        <v>31.43</v>
      </c>
    </row>
    <row r="167" spans="1:16" x14ac:dyDescent="0.3">
      <c r="A167" s="17" t="s">
        <v>232</v>
      </c>
      <c r="B167" s="18">
        <v>44614</v>
      </c>
      <c r="C167" s="19">
        <v>2021</v>
      </c>
      <c r="D167" s="20" t="s">
        <v>36</v>
      </c>
      <c r="E167" s="19" t="s">
        <v>77</v>
      </c>
      <c r="F167" s="19" t="s">
        <v>38</v>
      </c>
      <c r="G167" s="19" t="s">
        <v>64</v>
      </c>
      <c r="H167" s="19">
        <v>91.81</v>
      </c>
      <c r="I167" s="19">
        <v>153.62</v>
      </c>
      <c r="J167" s="19">
        <v>1673.25</v>
      </c>
      <c r="K167" s="19" t="s">
        <v>40</v>
      </c>
      <c r="L167" s="19" t="s">
        <v>22</v>
      </c>
      <c r="M167" s="19">
        <v>193.18</v>
      </c>
      <c r="N167" s="19">
        <v>349.85</v>
      </c>
      <c r="O167" s="19" t="s">
        <v>70</v>
      </c>
      <c r="P167" s="21">
        <v>32.82</v>
      </c>
    </row>
    <row r="168" spans="1:16" x14ac:dyDescent="0.3">
      <c r="A168" s="17" t="s">
        <v>233</v>
      </c>
      <c r="B168" s="18">
        <v>44322</v>
      </c>
      <c r="C168" s="19">
        <v>2021</v>
      </c>
      <c r="D168" s="20" t="s">
        <v>17</v>
      </c>
      <c r="E168" s="19" t="s">
        <v>18</v>
      </c>
      <c r="F168" s="19" t="s">
        <v>19</v>
      </c>
      <c r="G168" s="19" t="s">
        <v>46</v>
      </c>
      <c r="H168" s="19">
        <v>10</v>
      </c>
      <c r="I168" s="19">
        <v>40.619999999999997</v>
      </c>
      <c r="J168" s="19">
        <v>4062.25</v>
      </c>
      <c r="K168" s="19" t="s">
        <v>21</v>
      </c>
      <c r="L168" s="19" t="s">
        <v>29</v>
      </c>
      <c r="M168" s="19">
        <v>163.36000000000001</v>
      </c>
      <c r="N168" s="19">
        <v>713.25</v>
      </c>
      <c r="O168" s="19" t="s">
        <v>52</v>
      </c>
      <c r="P168" s="21">
        <v>28.46</v>
      </c>
    </row>
    <row r="169" spans="1:16" x14ac:dyDescent="0.3">
      <c r="A169" s="17" t="s">
        <v>234</v>
      </c>
      <c r="B169" s="18">
        <v>44486</v>
      </c>
      <c r="C169" s="19">
        <v>2021</v>
      </c>
      <c r="D169" s="20" t="s">
        <v>17</v>
      </c>
      <c r="E169" s="19" t="s">
        <v>72</v>
      </c>
      <c r="F169" s="19" t="s">
        <v>33</v>
      </c>
      <c r="G169" s="19" t="s">
        <v>46</v>
      </c>
      <c r="H169" s="19">
        <v>26.19</v>
      </c>
      <c r="I169" s="19">
        <v>26.66</v>
      </c>
      <c r="J169" s="19">
        <v>1018.09</v>
      </c>
      <c r="K169" s="19" t="s">
        <v>40</v>
      </c>
      <c r="L169" s="19" t="s">
        <v>22</v>
      </c>
      <c r="M169" s="19">
        <v>194.58</v>
      </c>
      <c r="N169" s="19">
        <v>245.29</v>
      </c>
      <c r="O169" s="19" t="s">
        <v>70</v>
      </c>
      <c r="P169" s="21">
        <v>30.51</v>
      </c>
    </row>
    <row r="170" spans="1:16" x14ac:dyDescent="0.3">
      <c r="A170" s="17" t="s">
        <v>235</v>
      </c>
      <c r="B170" s="18">
        <v>40579</v>
      </c>
      <c r="C170" s="19">
        <v>2010</v>
      </c>
      <c r="D170" s="20" t="s">
        <v>25</v>
      </c>
      <c r="E170" s="19" t="s">
        <v>87</v>
      </c>
      <c r="F170" s="19" t="s">
        <v>38</v>
      </c>
      <c r="G170" s="19" t="s">
        <v>46</v>
      </c>
      <c r="H170" s="19">
        <v>18.82</v>
      </c>
      <c r="I170" s="19">
        <v>34.11</v>
      </c>
      <c r="J170" s="19">
        <v>1812.57</v>
      </c>
      <c r="K170" s="19" t="s">
        <v>28</v>
      </c>
      <c r="L170" s="19" t="s">
        <v>29</v>
      </c>
      <c r="M170" s="19">
        <v>143.62</v>
      </c>
      <c r="N170" s="19">
        <v>1091.33</v>
      </c>
      <c r="O170" s="19" t="s">
        <v>52</v>
      </c>
      <c r="P170" s="21">
        <v>33.04</v>
      </c>
    </row>
    <row r="171" spans="1:16" x14ac:dyDescent="0.3">
      <c r="A171" s="17" t="s">
        <v>236</v>
      </c>
      <c r="B171" s="18">
        <v>43936</v>
      </c>
      <c r="C171" s="19">
        <v>2020</v>
      </c>
      <c r="D171" s="20" t="s">
        <v>25</v>
      </c>
      <c r="E171" s="19" t="s">
        <v>69</v>
      </c>
      <c r="F171" s="19" t="s">
        <v>19</v>
      </c>
      <c r="G171" s="19" t="s">
        <v>56</v>
      </c>
      <c r="H171" s="19">
        <v>65.7</v>
      </c>
      <c r="I171" s="19">
        <v>202.79</v>
      </c>
      <c r="J171" s="19">
        <v>3086.62</v>
      </c>
      <c r="K171" s="19" t="s">
        <v>40</v>
      </c>
      <c r="L171" s="19" t="s">
        <v>22</v>
      </c>
      <c r="M171" s="19">
        <v>298.20999999999998</v>
      </c>
      <c r="N171" s="19">
        <v>593.05999999999995</v>
      </c>
      <c r="O171" s="19" t="s">
        <v>42</v>
      </c>
      <c r="P171" s="21">
        <v>30.92</v>
      </c>
    </row>
    <row r="172" spans="1:16" x14ac:dyDescent="0.3">
      <c r="A172" s="17" t="s">
        <v>237</v>
      </c>
      <c r="B172" s="18">
        <v>41992</v>
      </c>
      <c r="C172" s="19">
        <v>2014</v>
      </c>
      <c r="D172" s="20" t="s">
        <v>44</v>
      </c>
      <c r="E172" s="19" t="s">
        <v>45</v>
      </c>
      <c r="F172" s="19" t="s">
        <v>38</v>
      </c>
      <c r="G172" s="19" t="s">
        <v>39</v>
      </c>
      <c r="H172" s="19">
        <v>72.19</v>
      </c>
      <c r="I172" s="19">
        <v>255.9</v>
      </c>
      <c r="J172" s="19">
        <v>3544.77</v>
      </c>
      <c r="K172" s="19" t="s">
        <v>28</v>
      </c>
      <c r="L172" s="19" t="s">
        <v>22</v>
      </c>
      <c r="M172" s="19">
        <v>255.84</v>
      </c>
      <c r="N172" s="19">
        <v>447.51</v>
      </c>
      <c r="O172" s="19" t="s">
        <v>70</v>
      </c>
      <c r="P172" s="21">
        <v>22.33</v>
      </c>
    </row>
    <row r="173" spans="1:16" x14ac:dyDescent="0.3">
      <c r="A173" s="17" t="s">
        <v>238</v>
      </c>
      <c r="B173" s="18">
        <v>42463</v>
      </c>
      <c r="C173" s="19">
        <v>2016</v>
      </c>
      <c r="D173" s="20" t="s">
        <v>25</v>
      </c>
      <c r="E173" s="19" t="s">
        <v>69</v>
      </c>
      <c r="F173" s="19" t="s">
        <v>19</v>
      </c>
      <c r="G173" s="19" t="s">
        <v>64</v>
      </c>
      <c r="H173" s="19">
        <v>24.83</v>
      </c>
      <c r="I173" s="19">
        <v>34.86</v>
      </c>
      <c r="J173" s="19">
        <v>1403.75</v>
      </c>
      <c r="K173" s="19" t="s">
        <v>21</v>
      </c>
      <c r="L173" s="19" t="s">
        <v>29</v>
      </c>
      <c r="M173" s="19">
        <v>161.61000000000001</v>
      </c>
      <c r="N173" s="19">
        <v>872.02</v>
      </c>
      <c r="O173" s="19" t="s">
        <v>23</v>
      </c>
      <c r="P173" s="21">
        <v>23.67</v>
      </c>
    </row>
    <row r="174" spans="1:16" x14ac:dyDescent="0.3">
      <c r="A174" s="17" t="s">
        <v>239</v>
      </c>
      <c r="B174" s="18">
        <v>43334</v>
      </c>
      <c r="C174" s="19">
        <v>2018</v>
      </c>
      <c r="D174" s="20" t="s">
        <v>36</v>
      </c>
      <c r="E174" s="19" t="s">
        <v>37</v>
      </c>
      <c r="F174" s="19" t="s">
        <v>33</v>
      </c>
      <c r="G174" s="19" t="s">
        <v>64</v>
      </c>
      <c r="H174" s="19">
        <v>14.87</v>
      </c>
      <c r="I174" s="19">
        <v>103.51</v>
      </c>
      <c r="J174" s="19">
        <v>6960.9</v>
      </c>
      <c r="K174" s="19" t="s">
        <v>40</v>
      </c>
      <c r="L174" s="19" t="s">
        <v>41</v>
      </c>
      <c r="M174" s="19">
        <v>253.95</v>
      </c>
      <c r="N174" s="19">
        <v>931.52</v>
      </c>
      <c r="O174" s="19" t="s">
        <v>70</v>
      </c>
      <c r="P174" s="21">
        <v>28.66</v>
      </c>
    </row>
    <row r="175" spans="1:16" x14ac:dyDescent="0.3">
      <c r="A175" s="17" t="s">
        <v>240</v>
      </c>
      <c r="B175" s="18">
        <v>43944</v>
      </c>
      <c r="C175" s="19">
        <v>2020</v>
      </c>
      <c r="D175" s="20" t="s">
        <v>31</v>
      </c>
      <c r="E175" s="19" t="s">
        <v>82</v>
      </c>
      <c r="F175" s="19" t="s">
        <v>19</v>
      </c>
      <c r="G175" s="19" t="s">
        <v>56</v>
      </c>
      <c r="H175" s="19">
        <v>41.94</v>
      </c>
      <c r="I175" s="19">
        <v>111.18</v>
      </c>
      <c r="J175" s="19">
        <v>2650.92</v>
      </c>
      <c r="K175" s="19" t="s">
        <v>40</v>
      </c>
      <c r="L175" s="19" t="s">
        <v>29</v>
      </c>
      <c r="M175" s="19">
        <v>206.5</v>
      </c>
      <c r="N175" s="19">
        <v>627.20000000000005</v>
      </c>
      <c r="O175" s="19" t="s">
        <v>52</v>
      </c>
      <c r="P175" s="21">
        <v>20.7</v>
      </c>
    </row>
    <row r="176" spans="1:16" x14ac:dyDescent="0.3">
      <c r="A176" s="17" t="s">
        <v>241</v>
      </c>
      <c r="B176" s="18">
        <v>42140</v>
      </c>
      <c r="C176" s="19">
        <v>2015</v>
      </c>
      <c r="D176" s="20" t="s">
        <v>44</v>
      </c>
      <c r="E176" s="19" t="s">
        <v>67</v>
      </c>
      <c r="F176" s="19" t="s">
        <v>19</v>
      </c>
      <c r="G176" s="19" t="s">
        <v>46</v>
      </c>
      <c r="H176" s="19">
        <v>41.42</v>
      </c>
      <c r="I176" s="19">
        <v>115.95</v>
      </c>
      <c r="J176" s="19">
        <v>2799.33</v>
      </c>
      <c r="K176" s="19" t="s">
        <v>40</v>
      </c>
      <c r="L176" s="19" t="s">
        <v>41</v>
      </c>
      <c r="M176" s="19">
        <v>238.6</v>
      </c>
      <c r="N176" s="19">
        <v>673.52</v>
      </c>
      <c r="O176" s="19" t="s">
        <v>42</v>
      </c>
      <c r="P176" s="21">
        <v>24.51</v>
      </c>
    </row>
    <row r="177" spans="1:16" x14ac:dyDescent="0.3">
      <c r="A177" s="17" t="s">
        <v>242</v>
      </c>
      <c r="B177" s="18">
        <v>40328</v>
      </c>
      <c r="C177" s="19">
        <v>2010</v>
      </c>
      <c r="D177" s="20" t="s">
        <v>44</v>
      </c>
      <c r="E177" s="19" t="s">
        <v>99</v>
      </c>
      <c r="F177" s="19" t="s">
        <v>19</v>
      </c>
      <c r="G177" s="19" t="s">
        <v>46</v>
      </c>
      <c r="H177" s="19">
        <v>96.81</v>
      </c>
      <c r="I177" s="19">
        <v>420.52</v>
      </c>
      <c r="J177" s="19">
        <v>4343.72</v>
      </c>
      <c r="K177" s="19" t="s">
        <v>40</v>
      </c>
      <c r="L177" s="19" t="s">
        <v>29</v>
      </c>
      <c r="M177" s="19">
        <v>147.1</v>
      </c>
      <c r="N177" s="19">
        <v>455</v>
      </c>
      <c r="O177" s="19" t="s">
        <v>70</v>
      </c>
      <c r="P177" s="21">
        <v>29.7</v>
      </c>
    </row>
    <row r="178" spans="1:16" x14ac:dyDescent="0.3">
      <c r="A178" s="17" t="s">
        <v>243</v>
      </c>
      <c r="B178" s="18">
        <v>40682</v>
      </c>
      <c r="C178" s="19">
        <v>2011</v>
      </c>
      <c r="D178" s="20" t="s">
        <v>44</v>
      </c>
      <c r="E178" s="19" t="s">
        <v>99</v>
      </c>
      <c r="F178" s="19" t="s">
        <v>19</v>
      </c>
      <c r="G178" s="19" t="s">
        <v>39</v>
      </c>
      <c r="H178" s="19">
        <v>83.11</v>
      </c>
      <c r="I178" s="19">
        <v>108.81</v>
      </c>
      <c r="J178" s="19">
        <v>1309.22</v>
      </c>
      <c r="K178" s="19" t="s">
        <v>28</v>
      </c>
      <c r="L178" s="19" t="s">
        <v>47</v>
      </c>
      <c r="M178" s="19">
        <v>218.42</v>
      </c>
      <c r="N178" s="19">
        <v>802.92</v>
      </c>
      <c r="O178" s="19" t="s">
        <v>23</v>
      </c>
      <c r="P178" s="21">
        <v>22.82</v>
      </c>
    </row>
    <row r="179" spans="1:16" x14ac:dyDescent="0.3">
      <c r="A179" s="17" t="s">
        <v>244</v>
      </c>
      <c r="B179" s="18">
        <v>43282</v>
      </c>
      <c r="C179" s="19">
        <v>2018</v>
      </c>
      <c r="D179" s="20" t="s">
        <v>17</v>
      </c>
      <c r="E179" s="19" t="s">
        <v>54</v>
      </c>
      <c r="F179" s="19" t="s">
        <v>33</v>
      </c>
      <c r="G179" s="19" t="s">
        <v>46</v>
      </c>
      <c r="H179" s="19">
        <v>21.68</v>
      </c>
      <c r="I179" s="19">
        <v>139.66999999999999</v>
      </c>
      <c r="J179" s="19">
        <v>6442.2</v>
      </c>
      <c r="K179" s="19" t="s">
        <v>34</v>
      </c>
      <c r="L179" s="19" t="s">
        <v>29</v>
      </c>
      <c r="M179" s="19">
        <v>289.25</v>
      </c>
      <c r="N179" s="19">
        <v>215.33</v>
      </c>
      <c r="O179" s="19" t="s">
        <v>42</v>
      </c>
      <c r="P179" s="21">
        <v>34.43</v>
      </c>
    </row>
    <row r="180" spans="1:16" x14ac:dyDescent="0.3">
      <c r="A180" s="17" t="s">
        <v>245</v>
      </c>
      <c r="B180" s="18">
        <v>43575</v>
      </c>
      <c r="C180" s="19">
        <v>2019</v>
      </c>
      <c r="D180" s="20" t="s">
        <v>103</v>
      </c>
      <c r="E180" s="19" t="s">
        <v>228</v>
      </c>
      <c r="F180" s="19" t="s">
        <v>19</v>
      </c>
      <c r="G180" s="19" t="s">
        <v>56</v>
      </c>
      <c r="H180" s="19">
        <v>40.270000000000003</v>
      </c>
      <c r="I180" s="19">
        <v>98.1</v>
      </c>
      <c r="J180" s="19">
        <v>2435.9899999999998</v>
      </c>
      <c r="K180" s="19" t="s">
        <v>34</v>
      </c>
      <c r="L180" s="19" t="s">
        <v>49</v>
      </c>
      <c r="M180" s="19">
        <v>243.88</v>
      </c>
      <c r="N180" s="19">
        <v>580.66</v>
      </c>
      <c r="O180" s="19" t="s">
        <v>61</v>
      </c>
      <c r="P180" s="21">
        <v>29.73</v>
      </c>
    </row>
    <row r="181" spans="1:16" x14ac:dyDescent="0.3">
      <c r="A181" s="17" t="s">
        <v>246</v>
      </c>
      <c r="B181" s="18">
        <v>43096</v>
      </c>
      <c r="C181" s="19">
        <v>2017</v>
      </c>
      <c r="D181" s="20" t="s">
        <v>31</v>
      </c>
      <c r="E181" s="19" t="s">
        <v>117</v>
      </c>
      <c r="F181" s="19" t="s">
        <v>38</v>
      </c>
      <c r="G181" s="19" t="s">
        <v>64</v>
      </c>
      <c r="H181" s="19">
        <v>80.48</v>
      </c>
      <c r="I181" s="19">
        <v>429.32</v>
      </c>
      <c r="J181" s="19">
        <v>5334.48</v>
      </c>
      <c r="K181" s="19" t="s">
        <v>34</v>
      </c>
      <c r="L181" s="19" t="s">
        <v>41</v>
      </c>
      <c r="M181" s="19">
        <v>278.58</v>
      </c>
      <c r="N181" s="19">
        <v>570.70000000000005</v>
      </c>
      <c r="O181" s="19" t="s">
        <v>52</v>
      </c>
      <c r="P181" s="21">
        <v>20.69</v>
      </c>
    </row>
    <row r="182" spans="1:16" x14ac:dyDescent="0.3">
      <c r="A182" s="17" t="s">
        <v>247</v>
      </c>
      <c r="B182" s="18">
        <v>43232</v>
      </c>
      <c r="C182" s="19">
        <v>2018</v>
      </c>
      <c r="D182" s="20" t="s">
        <v>25</v>
      </c>
      <c r="E182" s="19" t="s">
        <v>87</v>
      </c>
      <c r="F182" s="19" t="s">
        <v>19</v>
      </c>
      <c r="G182" s="19" t="s">
        <v>27</v>
      </c>
      <c r="H182" s="19">
        <v>72.28</v>
      </c>
      <c r="I182" s="19">
        <v>200.3</v>
      </c>
      <c r="J182" s="19">
        <v>2771.15</v>
      </c>
      <c r="K182" s="19" t="s">
        <v>40</v>
      </c>
      <c r="L182" s="19" t="s">
        <v>49</v>
      </c>
      <c r="M182" s="19">
        <v>132.47</v>
      </c>
      <c r="N182" s="19">
        <v>579.84</v>
      </c>
      <c r="O182" s="19" t="s">
        <v>42</v>
      </c>
      <c r="P182" s="21">
        <v>27.49</v>
      </c>
    </row>
    <row r="183" spans="1:16" x14ac:dyDescent="0.3">
      <c r="A183" s="17" t="s">
        <v>248</v>
      </c>
      <c r="B183" s="18">
        <v>44343</v>
      </c>
      <c r="C183" s="19">
        <v>2021</v>
      </c>
      <c r="D183" s="20" t="s">
        <v>31</v>
      </c>
      <c r="E183" s="19" t="s">
        <v>32</v>
      </c>
      <c r="F183" s="19" t="s">
        <v>19</v>
      </c>
      <c r="G183" s="19" t="s">
        <v>39</v>
      </c>
      <c r="H183" s="19">
        <v>49.57</v>
      </c>
      <c r="I183" s="19">
        <v>99.61</v>
      </c>
      <c r="J183" s="19">
        <v>2009.4</v>
      </c>
      <c r="K183" s="19" t="s">
        <v>34</v>
      </c>
      <c r="L183" s="19" t="s">
        <v>47</v>
      </c>
      <c r="M183" s="19">
        <v>92.32</v>
      </c>
      <c r="N183" s="19">
        <v>920.31</v>
      </c>
      <c r="O183" s="19" t="s">
        <v>52</v>
      </c>
      <c r="P183" s="21">
        <v>22.76</v>
      </c>
    </row>
    <row r="184" spans="1:16" x14ac:dyDescent="0.3">
      <c r="A184" s="17" t="s">
        <v>249</v>
      </c>
      <c r="B184" s="18">
        <v>43290</v>
      </c>
      <c r="C184" s="19">
        <v>2018</v>
      </c>
      <c r="D184" s="20" t="s">
        <v>17</v>
      </c>
      <c r="E184" s="19" t="s">
        <v>18</v>
      </c>
      <c r="F184" s="19" t="s">
        <v>33</v>
      </c>
      <c r="G184" s="19" t="s">
        <v>64</v>
      </c>
      <c r="H184" s="19">
        <v>94.57</v>
      </c>
      <c r="I184" s="19">
        <v>473.73</v>
      </c>
      <c r="J184" s="19">
        <v>5009.29</v>
      </c>
      <c r="K184" s="19" t="s">
        <v>21</v>
      </c>
      <c r="L184" s="19" t="s">
        <v>22</v>
      </c>
      <c r="M184" s="19">
        <v>153.1</v>
      </c>
      <c r="N184" s="19">
        <v>1042.54</v>
      </c>
      <c r="O184" s="19" t="s">
        <v>42</v>
      </c>
      <c r="P184" s="21">
        <v>21.02</v>
      </c>
    </row>
    <row r="185" spans="1:16" x14ac:dyDescent="0.3">
      <c r="A185" s="17" t="s">
        <v>250</v>
      </c>
      <c r="B185" s="18">
        <v>43043</v>
      </c>
      <c r="C185" s="19">
        <v>2017</v>
      </c>
      <c r="D185" s="20" t="s">
        <v>103</v>
      </c>
      <c r="E185" s="19" t="s">
        <v>228</v>
      </c>
      <c r="F185" s="19" t="s">
        <v>38</v>
      </c>
      <c r="G185" s="19" t="s">
        <v>64</v>
      </c>
      <c r="H185" s="19">
        <v>62.17</v>
      </c>
      <c r="I185" s="19">
        <v>310.88</v>
      </c>
      <c r="J185" s="19">
        <v>5000.53</v>
      </c>
      <c r="K185" s="19" t="s">
        <v>28</v>
      </c>
      <c r="L185" s="19" t="s">
        <v>22</v>
      </c>
      <c r="M185" s="19">
        <v>214.82</v>
      </c>
      <c r="N185" s="19">
        <v>215.73</v>
      </c>
      <c r="O185" s="19" t="s">
        <v>61</v>
      </c>
      <c r="P185" s="21">
        <v>28.27</v>
      </c>
    </row>
    <row r="186" spans="1:16" x14ac:dyDescent="0.3">
      <c r="A186" s="17" t="s">
        <v>251</v>
      </c>
      <c r="B186" s="18">
        <v>41763</v>
      </c>
      <c r="C186" s="19">
        <v>2014</v>
      </c>
      <c r="D186" s="20" t="s">
        <v>59</v>
      </c>
      <c r="E186" s="19" t="s">
        <v>93</v>
      </c>
      <c r="F186" s="19" t="s">
        <v>19</v>
      </c>
      <c r="G186" s="19" t="s">
        <v>20</v>
      </c>
      <c r="H186" s="19">
        <v>2.7</v>
      </c>
      <c r="I186" s="19">
        <v>15.87</v>
      </c>
      <c r="J186" s="19">
        <v>5878.94</v>
      </c>
      <c r="K186" s="19" t="s">
        <v>28</v>
      </c>
      <c r="L186" s="19" t="s">
        <v>41</v>
      </c>
      <c r="M186" s="19">
        <v>251.54</v>
      </c>
      <c r="N186" s="19">
        <v>1109.77</v>
      </c>
      <c r="O186" s="19" t="s">
        <v>23</v>
      </c>
      <c r="P186" s="21">
        <v>33.770000000000003</v>
      </c>
    </row>
    <row r="187" spans="1:16" x14ac:dyDescent="0.3">
      <c r="A187" s="17" t="s">
        <v>252</v>
      </c>
      <c r="B187" s="18">
        <v>43600</v>
      </c>
      <c r="C187" s="19">
        <v>2019</v>
      </c>
      <c r="D187" s="20" t="s">
        <v>103</v>
      </c>
      <c r="E187" s="19" t="s">
        <v>104</v>
      </c>
      <c r="F187" s="19" t="s">
        <v>19</v>
      </c>
      <c r="G187" s="19" t="s">
        <v>20</v>
      </c>
      <c r="H187" s="19">
        <v>81.709999999999994</v>
      </c>
      <c r="I187" s="19">
        <v>212.77</v>
      </c>
      <c r="J187" s="19">
        <v>2603.9499999999998</v>
      </c>
      <c r="K187" s="19" t="s">
        <v>28</v>
      </c>
      <c r="L187" s="19" t="s">
        <v>41</v>
      </c>
      <c r="M187" s="19">
        <v>69.75</v>
      </c>
      <c r="N187" s="19">
        <v>1159.3</v>
      </c>
      <c r="O187" s="19" t="s">
        <v>52</v>
      </c>
      <c r="P187" s="21">
        <v>28.48</v>
      </c>
    </row>
    <row r="188" spans="1:16" x14ac:dyDescent="0.3">
      <c r="A188" s="17" t="s">
        <v>253</v>
      </c>
      <c r="B188" s="18">
        <v>40639</v>
      </c>
      <c r="C188" s="19">
        <v>2011</v>
      </c>
      <c r="D188" s="20" t="s">
        <v>31</v>
      </c>
      <c r="E188" s="19" t="s">
        <v>117</v>
      </c>
      <c r="F188" s="19" t="s">
        <v>19</v>
      </c>
      <c r="G188" s="19" t="s">
        <v>39</v>
      </c>
      <c r="H188" s="19">
        <v>76.2</v>
      </c>
      <c r="I188" s="19">
        <v>118.95</v>
      </c>
      <c r="J188" s="19">
        <v>1561</v>
      </c>
      <c r="K188" s="19" t="s">
        <v>28</v>
      </c>
      <c r="L188" s="19" t="s">
        <v>29</v>
      </c>
      <c r="M188" s="19">
        <v>144.29</v>
      </c>
      <c r="N188" s="19">
        <v>676.01</v>
      </c>
      <c r="O188" s="19" t="s">
        <v>23</v>
      </c>
      <c r="P188" s="21">
        <v>30.54</v>
      </c>
    </row>
    <row r="189" spans="1:16" x14ac:dyDescent="0.3">
      <c r="A189" s="17" t="s">
        <v>254</v>
      </c>
      <c r="B189" s="18">
        <v>44147</v>
      </c>
      <c r="C189" s="19">
        <v>2020</v>
      </c>
      <c r="D189" s="20" t="s">
        <v>44</v>
      </c>
      <c r="E189" s="19" t="s">
        <v>99</v>
      </c>
      <c r="F189" s="19" t="s">
        <v>38</v>
      </c>
      <c r="G189" s="19" t="s">
        <v>27</v>
      </c>
      <c r="H189" s="19">
        <v>97.76</v>
      </c>
      <c r="I189" s="19">
        <v>668.98</v>
      </c>
      <c r="J189" s="19">
        <v>6843.04</v>
      </c>
      <c r="K189" s="19" t="s">
        <v>21</v>
      </c>
      <c r="L189" s="19" t="s">
        <v>22</v>
      </c>
      <c r="M189" s="19">
        <v>107.44</v>
      </c>
      <c r="N189" s="19">
        <v>1101.27</v>
      </c>
      <c r="O189" s="19" t="s">
        <v>61</v>
      </c>
      <c r="P189" s="21">
        <v>27.13</v>
      </c>
    </row>
    <row r="190" spans="1:16" x14ac:dyDescent="0.3">
      <c r="A190" s="17" t="s">
        <v>255</v>
      </c>
      <c r="B190" s="18">
        <v>43236</v>
      </c>
      <c r="C190" s="19">
        <v>2018</v>
      </c>
      <c r="D190" s="20" t="s">
        <v>17</v>
      </c>
      <c r="E190" s="19" t="s">
        <v>72</v>
      </c>
      <c r="F190" s="19" t="s">
        <v>19</v>
      </c>
      <c r="G190" s="19" t="s">
        <v>39</v>
      </c>
      <c r="H190" s="19">
        <v>4.26</v>
      </c>
      <c r="I190" s="19">
        <v>28</v>
      </c>
      <c r="J190" s="19">
        <v>6572.6</v>
      </c>
      <c r="K190" s="19" t="s">
        <v>34</v>
      </c>
      <c r="L190" s="19" t="s">
        <v>29</v>
      </c>
      <c r="M190" s="19">
        <v>53.91</v>
      </c>
      <c r="N190" s="19">
        <v>407.16</v>
      </c>
      <c r="O190" s="19" t="s">
        <v>42</v>
      </c>
      <c r="P190" s="21">
        <v>31.28</v>
      </c>
    </row>
    <row r="191" spans="1:16" x14ac:dyDescent="0.3">
      <c r="A191" s="17" t="s">
        <v>256</v>
      </c>
      <c r="B191" s="18">
        <v>41022</v>
      </c>
      <c r="C191" s="19">
        <v>2012</v>
      </c>
      <c r="D191" s="20" t="s">
        <v>25</v>
      </c>
      <c r="E191" s="19" t="s">
        <v>87</v>
      </c>
      <c r="F191" s="19" t="s">
        <v>19</v>
      </c>
      <c r="G191" s="19" t="s">
        <v>56</v>
      </c>
      <c r="H191" s="19">
        <v>57.1</v>
      </c>
      <c r="I191" s="19">
        <v>348.12</v>
      </c>
      <c r="J191" s="19">
        <v>6096.65</v>
      </c>
      <c r="K191" s="19" t="s">
        <v>34</v>
      </c>
      <c r="L191" s="19" t="s">
        <v>22</v>
      </c>
      <c r="M191" s="19">
        <v>145.96</v>
      </c>
      <c r="N191" s="19">
        <v>939.75</v>
      </c>
      <c r="O191" s="19" t="s">
        <v>23</v>
      </c>
      <c r="P191" s="21">
        <v>27.51</v>
      </c>
    </row>
    <row r="192" spans="1:16" x14ac:dyDescent="0.3">
      <c r="A192" s="17" t="s">
        <v>257</v>
      </c>
      <c r="B192" s="18">
        <v>41541</v>
      </c>
      <c r="C192" s="19">
        <v>2013</v>
      </c>
      <c r="D192" s="20" t="s">
        <v>25</v>
      </c>
      <c r="E192" s="19" t="s">
        <v>87</v>
      </c>
      <c r="F192" s="19" t="s">
        <v>33</v>
      </c>
      <c r="G192" s="19" t="s">
        <v>20</v>
      </c>
      <c r="H192" s="19">
        <v>60.91</v>
      </c>
      <c r="I192" s="19">
        <v>285.25</v>
      </c>
      <c r="J192" s="19">
        <v>4683.1899999999996</v>
      </c>
      <c r="K192" s="19" t="s">
        <v>28</v>
      </c>
      <c r="L192" s="19" t="s">
        <v>29</v>
      </c>
      <c r="M192" s="19">
        <v>292.23</v>
      </c>
      <c r="N192" s="19">
        <v>526.38</v>
      </c>
      <c r="O192" s="19" t="s">
        <v>70</v>
      </c>
      <c r="P192" s="21">
        <v>31.75</v>
      </c>
    </row>
    <row r="193" spans="1:16" x14ac:dyDescent="0.3">
      <c r="A193" s="17" t="s">
        <v>258</v>
      </c>
      <c r="B193" s="18">
        <v>43426</v>
      </c>
      <c r="C193" s="19">
        <v>2018</v>
      </c>
      <c r="D193" s="20" t="s">
        <v>103</v>
      </c>
      <c r="E193" s="19" t="s">
        <v>107</v>
      </c>
      <c r="F193" s="19" t="s">
        <v>38</v>
      </c>
      <c r="G193" s="19" t="s">
        <v>46</v>
      </c>
      <c r="H193" s="19">
        <v>19.39</v>
      </c>
      <c r="I193" s="19">
        <v>87.55</v>
      </c>
      <c r="J193" s="19">
        <v>4515.25</v>
      </c>
      <c r="K193" s="19" t="s">
        <v>28</v>
      </c>
      <c r="L193" s="19" t="s">
        <v>49</v>
      </c>
      <c r="M193" s="19">
        <v>71.42</v>
      </c>
      <c r="N193" s="19">
        <v>818.62</v>
      </c>
      <c r="O193" s="19" t="s">
        <v>42</v>
      </c>
      <c r="P193" s="21">
        <v>30.7</v>
      </c>
    </row>
    <row r="194" spans="1:16" x14ac:dyDescent="0.3">
      <c r="A194" s="17" t="s">
        <v>259</v>
      </c>
      <c r="B194" s="18">
        <v>44304</v>
      </c>
      <c r="C194" s="19">
        <v>2021</v>
      </c>
      <c r="D194" s="20" t="s">
        <v>103</v>
      </c>
      <c r="E194" s="19" t="s">
        <v>107</v>
      </c>
      <c r="F194" s="19" t="s">
        <v>19</v>
      </c>
      <c r="G194" s="19" t="s">
        <v>56</v>
      </c>
      <c r="H194" s="19">
        <v>74.23</v>
      </c>
      <c r="I194" s="19">
        <v>215.27</v>
      </c>
      <c r="J194" s="19">
        <v>2900.07</v>
      </c>
      <c r="K194" s="19" t="s">
        <v>21</v>
      </c>
      <c r="L194" s="19" t="s">
        <v>22</v>
      </c>
      <c r="M194" s="19">
        <v>72.88</v>
      </c>
      <c r="N194" s="19">
        <v>1142.96</v>
      </c>
      <c r="O194" s="19" t="s">
        <v>52</v>
      </c>
      <c r="P194" s="21">
        <v>25.4</v>
      </c>
    </row>
    <row r="195" spans="1:16" x14ac:dyDescent="0.3">
      <c r="A195" s="17" t="s">
        <v>260</v>
      </c>
      <c r="B195" s="18">
        <v>41297</v>
      </c>
      <c r="C195" s="19">
        <v>2012</v>
      </c>
      <c r="D195" s="20" t="s">
        <v>103</v>
      </c>
      <c r="E195" s="19" t="s">
        <v>104</v>
      </c>
      <c r="F195" s="19" t="s">
        <v>38</v>
      </c>
      <c r="G195" s="19" t="s">
        <v>46</v>
      </c>
      <c r="H195" s="19">
        <v>56.14</v>
      </c>
      <c r="I195" s="19">
        <v>228.75</v>
      </c>
      <c r="J195" s="19">
        <v>4074.65</v>
      </c>
      <c r="K195" s="19" t="s">
        <v>21</v>
      </c>
      <c r="L195" s="19" t="s">
        <v>29</v>
      </c>
      <c r="M195" s="19">
        <v>56.57</v>
      </c>
      <c r="N195" s="19">
        <v>553.91</v>
      </c>
      <c r="O195" s="19" t="s">
        <v>23</v>
      </c>
      <c r="P195" s="21">
        <v>28.95</v>
      </c>
    </row>
    <row r="196" spans="1:16" x14ac:dyDescent="0.3">
      <c r="A196" s="17" t="s">
        <v>261</v>
      </c>
      <c r="B196" s="18">
        <v>42743</v>
      </c>
      <c r="C196" s="19">
        <v>2016</v>
      </c>
      <c r="D196" s="20" t="s">
        <v>25</v>
      </c>
      <c r="E196" s="19" t="s">
        <v>87</v>
      </c>
      <c r="F196" s="19" t="s">
        <v>38</v>
      </c>
      <c r="G196" s="19" t="s">
        <v>64</v>
      </c>
      <c r="H196" s="19">
        <v>72.760000000000005</v>
      </c>
      <c r="I196" s="19">
        <v>317.02999999999997</v>
      </c>
      <c r="J196" s="19">
        <v>4357.22</v>
      </c>
      <c r="K196" s="19" t="s">
        <v>40</v>
      </c>
      <c r="L196" s="19" t="s">
        <v>49</v>
      </c>
      <c r="M196" s="19">
        <v>192.99</v>
      </c>
      <c r="N196" s="19">
        <v>369.58</v>
      </c>
      <c r="O196" s="19" t="s">
        <v>52</v>
      </c>
      <c r="P196" s="21">
        <v>22.54</v>
      </c>
    </row>
    <row r="197" spans="1:16" x14ac:dyDescent="0.3">
      <c r="A197" s="17" t="s">
        <v>262</v>
      </c>
      <c r="B197" s="18">
        <v>41187</v>
      </c>
      <c r="C197" s="19">
        <v>2012</v>
      </c>
      <c r="D197" s="20" t="s">
        <v>31</v>
      </c>
      <c r="E197" s="19" t="s">
        <v>32</v>
      </c>
      <c r="F197" s="19" t="s">
        <v>33</v>
      </c>
      <c r="G197" s="19" t="s">
        <v>56</v>
      </c>
      <c r="H197" s="19">
        <v>44.03</v>
      </c>
      <c r="I197" s="19">
        <v>155.28</v>
      </c>
      <c r="J197" s="19">
        <v>3526.61</v>
      </c>
      <c r="K197" s="19" t="s">
        <v>28</v>
      </c>
      <c r="L197" s="19" t="s">
        <v>47</v>
      </c>
      <c r="M197" s="19">
        <v>245.67</v>
      </c>
      <c r="N197" s="19">
        <v>561.12</v>
      </c>
      <c r="O197" s="19" t="s">
        <v>42</v>
      </c>
      <c r="P197" s="21">
        <v>30.81</v>
      </c>
    </row>
    <row r="198" spans="1:16" x14ac:dyDescent="0.3">
      <c r="A198" s="17" t="s">
        <v>263</v>
      </c>
      <c r="B198" s="18">
        <v>42997</v>
      </c>
      <c r="C198" s="19">
        <v>2017</v>
      </c>
      <c r="D198" s="20" t="s">
        <v>59</v>
      </c>
      <c r="E198" s="19" t="s">
        <v>60</v>
      </c>
      <c r="F198" s="19" t="s">
        <v>33</v>
      </c>
      <c r="G198" s="19" t="s">
        <v>56</v>
      </c>
      <c r="H198" s="19">
        <v>31.16</v>
      </c>
      <c r="I198" s="19">
        <v>208.55</v>
      </c>
      <c r="J198" s="19">
        <v>6692.94</v>
      </c>
      <c r="K198" s="19" t="s">
        <v>34</v>
      </c>
      <c r="L198" s="19" t="s">
        <v>47</v>
      </c>
      <c r="M198" s="19">
        <v>260.39999999999998</v>
      </c>
      <c r="N198" s="19">
        <v>579.89</v>
      </c>
      <c r="O198" s="19" t="s">
        <v>70</v>
      </c>
      <c r="P198" s="21">
        <v>26.6</v>
      </c>
    </row>
    <row r="199" spans="1:16" x14ac:dyDescent="0.3">
      <c r="A199" s="17" t="s">
        <v>264</v>
      </c>
      <c r="B199" s="18">
        <v>42145</v>
      </c>
      <c r="C199" s="19">
        <v>2015</v>
      </c>
      <c r="D199" s="20" t="s">
        <v>103</v>
      </c>
      <c r="E199" s="19" t="s">
        <v>107</v>
      </c>
      <c r="F199" s="19" t="s">
        <v>19</v>
      </c>
      <c r="G199" s="19" t="s">
        <v>39</v>
      </c>
      <c r="H199" s="19">
        <v>20.88</v>
      </c>
      <c r="I199" s="19">
        <v>60.24</v>
      </c>
      <c r="J199" s="19">
        <v>2885.1</v>
      </c>
      <c r="K199" s="19" t="s">
        <v>28</v>
      </c>
      <c r="L199" s="19" t="s">
        <v>41</v>
      </c>
      <c r="M199" s="19">
        <v>292.18</v>
      </c>
      <c r="N199" s="19">
        <v>491.45</v>
      </c>
      <c r="O199" s="19" t="s">
        <v>52</v>
      </c>
      <c r="P199" s="21">
        <v>34.520000000000003</v>
      </c>
    </row>
    <row r="200" spans="1:16" x14ac:dyDescent="0.3">
      <c r="A200" s="17" t="s">
        <v>265</v>
      </c>
      <c r="B200" s="18">
        <v>41997</v>
      </c>
      <c r="C200" s="19">
        <v>2014</v>
      </c>
      <c r="D200" s="20" t="s">
        <v>31</v>
      </c>
      <c r="E200" s="19" t="s">
        <v>32</v>
      </c>
      <c r="F200" s="19" t="s">
        <v>38</v>
      </c>
      <c r="G200" s="19" t="s">
        <v>20</v>
      </c>
      <c r="H200" s="19">
        <v>12.27</v>
      </c>
      <c r="I200" s="19">
        <v>53.78</v>
      </c>
      <c r="J200" s="19">
        <v>4383.1000000000004</v>
      </c>
      <c r="K200" s="19" t="s">
        <v>40</v>
      </c>
      <c r="L200" s="19" t="s">
        <v>29</v>
      </c>
      <c r="M200" s="19">
        <v>220.43</v>
      </c>
      <c r="N200" s="19">
        <v>750.1</v>
      </c>
      <c r="O200" s="19" t="s">
        <v>52</v>
      </c>
      <c r="P200" s="21">
        <v>34.14</v>
      </c>
    </row>
    <row r="201" spans="1:16" x14ac:dyDescent="0.3">
      <c r="A201" s="17" t="s">
        <v>266</v>
      </c>
      <c r="B201" s="18">
        <v>44366</v>
      </c>
      <c r="C201" s="19">
        <v>2021</v>
      </c>
      <c r="D201" s="20" t="s">
        <v>44</v>
      </c>
      <c r="E201" s="19" t="s">
        <v>99</v>
      </c>
      <c r="F201" s="19" t="s">
        <v>33</v>
      </c>
      <c r="G201" s="19" t="s">
        <v>46</v>
      </c>
      <c r="H201" s="19">
        <v>67.62</v>
      </c>
      <c r="I201" s="19">
        <v>124.09</v>
      </c>
      <c r="J201" s="19">
        <v>1835.07</v>
      </c>
      <c r="K201" s="19" t="s">
        <v>34</v>
      </c>
      <c r="L201" s="19" t="s">
        <v>29</v>
      </c>
      <c r="M201" s="19">
        <v>110.51</v>
      </c>
      <c r="N201" s="19">
        <v>858.66</v>
      </c>
      <c r="O201" s="19" t="s">
        <v>52</v>
      </c>
      <c r="P201" s="21">
        <v>31.84</v>
      </c>
    </row>
    <row r="202" spans="1:16" x14ac:dyDescent="0.3">
      <c r="A202" s="17" t="s">
        <v>267</v>
      </c>
      <c r="B202" s="18">
        <v>43907</v>
      </c>
      <c r="C202" s="19">
        <v>2019</v>
      </c>
      <c r="D202" s="20" t="s">
        <v>59</v>
      </c>
      <c r="E202" s="19" t="s">
        <v>63</v>
      </c>
      <c r="F202" s="19" t="s">
        <v>38</v>
      </c>
      <c r="G202" s="19" t="s">
        <v>27</v>
      </c>
      <c r="H202" s="19">
        <v>51.15</v>
      </c>
      <c r="I202" s="19">
        <v>333.62</v>
      </c>
      <c r="J202" s="19">
        <v>6522.35</v>
      </c>
      <c r="K202" s="19" t="s">
        <v>28</v>
      </c>
      <c r="L202" s="19" t="s">
        <v>47</v>
      </c>
      <c r="M202" s="19">
        <v>185.91</v>
      </c>
      <c r="N202" s="19">
        <v>990.72</v>
      </c>
      <c r="O202" s="19" t="s">
        <v>70</v>
      </c>
      <c r="P202" s="21">
        <v>30.52</v>
      </c>
    </row>
    <row r="203" spans="1:16" x14ac:dyDescent="0.3">
      <c r="A203" s="17" t="s">
        <v>268</v>
      </c>
      <c r="B203" s="18">
        <v>40779</v>
      </c>
      <c r="C203" s="19">
        <v>2011</v>
      </c>
      <c r="D203" s="20" t="s">
        <v>17</v>
      </c>
      <c r="E203" s="19" t="s">
        <v>18</v>
      </c>
      <c r="F203" s="19" t="s">
        <v>33</v>
      </c>
      <c r="G203" s="19" t="s">
        <v>39</v>
      </c>
      <c r="H203" s="19">
        <v>66.8</v>
      </c>
      <c r="I203" s="19">
        <v>133.47</v>
      </c>
      <c r="J203" s="19">
        <v>1998.03</v>
      </c>
      <c r="K203" s="19" t="s">
        <v>21</v>
      </c>
      <c r="L203" s="19" t="s">
        <v>29</v>
      </c>
      <c r="M203" s="19">
        <v>190.81</v>
      </c>
      <c r="N203" s="19">
        <v>845.03</v>
      </c>
      <c r="O203" s="19" t="s">
        <v>52</v>
      </c>
      <c r="P203" s="21">
        <v>34.5</v>
      </c>
    </row>
    <row r="204" spans="1:16" x14ac:dyDescent="0.3">
      <c r="A204" s="17" t="s">
        <v>269</v>
      </c>
      <c r="B204" s="18">
        <v>40886</v>
      </c>
      <c r="C204" s="19">
        <v>2011</v>
      </c>
      <c r="D204" s="20" t="s">
        <v>25</v>
      </c>
      <c r="E204" s="19" t="s">
        <v>26</v>
      </c>
      <c r="F204" s="19" t="s">
        <v>38</v>
      </c>
      <c r="G204" s="19" t="s">
        <v>56</v>
      </c>
      <c r="H204" s="19">
        <v>51.56</v>
      </c>
      <c r="I204" s="19">
        <v>212.06</v>
      </c>
      <c r="J204" s="19">
        <v>4112.79</v>
      </c>
      <c r="K204" s="19" t="s">
        <v>40</v>
      </c>
      <c r="L204" s="19" t="s">
        <v>49</v>
      </c>
      <c r="M204" s="19">
        <v>161.44</v>
      </c>
      <c r="N204" s="19">
        <v>591.13</v>
      </c>
      <c r="O204" s="19" t="s">
        <v>61</v>
      </c>
      <c r="P204" s="21">
        <v>30.36</v>
      </c>
    </row>
    <row r="205" spans="1:16" x14ac:dyDescent="0.3">
      <c r="A205" s="17" t="s">
        <v>270</v>
      </c>
      <c r="B205" s="18">
        <v>40937</v>
      </c>
      <c r="C205" s="19">
        <v>2011</v>
      </c>
      <c r="D205" s="20" t="s">
        <v>25</v>
      </c>
      <c r="E205" s="19" t="s">
        <v>87</v>
      </c>
      <c r="F205" s="19" t="s">
        <v>38</v>
      </c>
      <c r="G205" s="19" t="s">
        <v>46</v>
      </c>
      <c r="H205" s="19">
        <v>92.13</v>
      </c>
      <c r="I205" s="19">
        <v>139.59</v>
      </c>
      <c r="J205" s="19">
        <v>1515.13</v>
      </c>
      <c r="K205" s="19" t="s">
        <v>40</v>
      </c>
      <c r="L205" s="19" t="s">
        <v>29</v>
      </c>
      <c r="M205" s="19">
        <v>137.08000000000001</v>
      </c>
      <c r="N205" s="19">
        <v>543.07000000000005</v>
      </c>
      <c r="O205" s="19" t="s">
        <v>42</v>
      </c>
      <c r="P205" s="21">
        <v>27.82</v>
      </c>
    </row>
    <row r="206" spans="1:16" x14ac:dyDescent="0.3">
      <c r="A206" s="17" t="s">
        <v>271</v>
      </c>
      <c r="B206" s="18">
        <v>44297</v>
      </c>
      <c r="C206" s="19">
        <v>2021</v>
      </c>
      <c r="D206" s="20" t="s">
        <v>25</v>
      </c>
      <c r="E206" s="19" t="s">
        <v>87</v>
      </c>
      <c r="F206" s="19" t="s">
        <v>19</v>
      </c>
      <c r="G206" s="19" t="s">
        <v>46</v>
      </c>
      <c r="H206" s="19">
        <v>32.57</v>
      </c>
      <c r="I206" s="19">
        <v>91.25</v>
      </c>
      <c r="J206" s="19">
        <v>2801.58</v>
      </c>
      <c r="K206" s="19" t="s">
        <v>21</v>
      </c>
      <c r="L206" s="19" t="s">
        <v>41</v>
      </c>
      <c r="M206" s="19">
        <v>55.65</v>
      </c>
      <c r="N206" s="19">
        <v>543.08000000000004</v>
      </c>
      <c r="O206" s="19" t="s">
        <v>23</v>
      </c>
      <c r="P206" s="21">
        <v>30.16</v>
      </c>
    </row>
    <row r="207" spans="1:16" x14ac:dyDescent="0.3">
      <c r="A207" s="17" t="s">
        <v>272</v>
      </c>
      <c r="B207" s="18">
        <v>43362</v>
      </c>
      <c r="C207" s="19">
        <v>2018</v>
      </c>
      <c r="D207" s="20" t="s">
        <v>59</v>
      </c>
      <c r="E207" s="19" t="s">
        <v>60</v>
      </c>
      <c r="F207" s="19" t="s">
        <v>33</v>
      </c>
      <c r="G207" s="19" t="s">
        <v>20</v>
      </c>
      <c r="H207" s="19">
        <v>56.43</v>
      </c>
      <c r="I207" s="19">
        <v>380.95</v>
      </c>
      <c r="J207" s="19">
        <v>6750.78</v>
      </c>
      <c r="K207" s="19" t="s">
        <v>40</v>
      </c>
      <c r="L207" s="19" t="s">
        <v>29</v>
      </c>
      <c r="M207" s="19">
        <v>249.44</v>
      </c>
      <c r="N207" s="19">
        <v>829.76</v>
      </c>
      <c r="O207" s="19" t="s">
        <v>42</v>
      </c>
      <c r="P207" s="21">
        <v>29.61</v>
      </c>
    </row>
    <row r="208" spans="1:16" x14ac:dyDescent="0.3">
      <c r="A208" s="17" t="s">
        <v>273</v>
      </c>
      <c r="B208" s="18">
        <v>43754</v>
      </c>
      <c r="C208" s="19">
        <v>2019</v>
      </c>
      <c r="D208" s="20" t="s">
        <v>25</v>
      </c>
      <c r="E208" s="19" t="s">
        <v>69</v>
      </c>
      <c r="F208" s="19" t="s">
        <v>33</v>
      </c>
      <c r="G208" s="19" t="s">
        <v>46</v>
      </c>
      <c r="H208" s="19">
        <v>59.63</v>
      </c>
      <c r="I208" s="19">
        <v>198.75</v>
      </c>
      <c r="J208" s="19">
        <v>3333.01</v>
      </c>
      <c r="K208" s="19" t="s">
        <v>40</v>
      </c>
      <c r="L208" s="19" t="s">
        <v>41</v>
      </c>
      <c r="M208" s="19">
        <v>101.45</v>
      </c>
      <c r="N208" s="19">
        <v>952.33</v>
      </c>
      <c r="O208" s="19" t="s">
        <v>23</v>
      </c>
      <c r="P208" s="21">
        <v>28.66</v>
      </c>
    </row>
    <row r="209" spans="1:16" x14ac:dyDescent="0.3">
      <c r="A209" s="17" t="s">
        <v>274</v>
      </c>
      <c r="B209" s="18">
        <v>41669</v>
      </c>
      <c r="C209" s="19">
        <v>2013</v>
      </c>
      <c r="D209" s="20" t="s">
        <v>31</v>
      </c>
      <c r="E209" s="19" t="s">
        <v>32</v>
      </c>
      <c r="F209" s="19" t="s">
        <v>38</v>
      </c>
      <c r="G209" s="19" t="s">
        <v>64</v>
      </c>
      <c r="H209" s="19">
        <v>26.97</v>
      </c>
      <c r="I209" s="19">
        <v>166.56</v>
      </c>
      <c r="J209" s="19">
        <v>6175.82</v>
      </c>
      <c r="K209" s="19" t="s">
        <v>34</v>
      </c>
      <c r="L209" s="19" t="s">
        <v>29</v>
      </c>
      <c r="M209" s="19">
        <v>199.24</v>
      </c>
      <c r="N209" s="19">
        <v>811.31</v>
      </c>
      <c r="O209" s="19" t="s">
        <v>61</v>
      </c>
      <c r="P209" s="21">
        <v>21.71</v>
      </c>
    </row>
    <row r="210" spans="1:16" x14ac:dyDescent="0.3">
      <c r="A210" s="17" t="s">
        <v>275</v>
      </c>
      <c r="B210" s="18">
        <v>43966</v>
      </c>
      <c r="C210" s="19">
        <v>2020</v>
      </c>
      <c r="D210" s="20" t="s">
        <v>59</v>
      </c>
      <c r="E210" s="19" t="s">
        <v>60</v>
      </c>
      <c r="F210" s="19" t="s">
        <v>19</v>
      </c>
      <c r="G210" s="19" t="s">
        <v>20</v>
      </c>
      <c r="H210" s="19">
        <v>91.95</v>
      </c>
      <c r="I210" s="19">
        <v>417.55</v>
      </c>
      <c r="J210" s="19">
        <v>4541.01</v>
      </c>
      <c r="K210" s="19" t="s">
        <v>40</v>
      </c>
      <c r="L210" s="19" t="s">
        <v>41</v>
      </c>
      <c r="M210" s="19">
        <v>128.30000000000001</v>
      </c>
      <c r="N210" s="19">
        <v>438.57</v>
      </c>
      <c r="O210" s="19" t="s">
        <v>23</v>
      </c>
      <c r="P210" s="21">
        <v>22.75</v>
      </c>
    </row>
    <row r="211" spans="1:16" x14ac:dyDescent="0.3">
      <c r="A211" s="17" t="s">
        <v>276</v>
      </c>
      <c r="B211" s="18">
        <v>42492</v>
      </c>
      <c r="C211" s="19">
        <v>2016</v>
      </c>
      <c r="D211" s="20" t="s">
        <v>59</v>
      </c>
      <c r="E211" s="19" t="s">
        <v>63</v>
      </c>
      <c r="F211" s="19" t="s">
        <v>19</v>
      </c>
      <c r="G211" s="19" t="s">
        <v>56</v>
      </c>
      <c r="H211" s="19">
        <v>57.91</v>
      </c>
      <c r="I211" s="19">
        <v>204.9</v>
      </c>
      <c r="J211" s="19">
        <v>3538.23</v>
      </c>
      <c r="K211" s="19" t="s">
        <v>28</v>
      </c>
      <c r="L211" s="19" t="s">
        <v>49</v>
      </c>
      <c r="M211" s="19">
        <v>208.88</v>
      </c>
      <c r="N211" s="19">
        <v>893.43</v>
      </c>
      <c r="O211" s="19" t="s">
        <v>42</v>
      </c>
      <c r="P211" s="21">
        <v>28.32</v>
      </c>
    </row>
    <row r="212" spans="1:16" x14ac:dyDescent="0.3">
      <c r="A212" s="17" t="s">
        <v>277</v>
      </c>
      <c r="B212" s="18">
        <v>42438</v>
      </c>
      <c r="C212" s="19">
        <v>2015</v>
      </c>
      <c r="D212" s="20" t="s">
        <v>103</v>
      </c>
      <c r="E212" s="19" t="s">
        <v>104</v>
      </c>
      <c r="F212" s="19" t="s">
        <v>38</v>
      </c>
      <c r="G212" s="19" t="s">
        <v>27</v>
      </c>
      <c r="H212" s="19">
        <v>6.31</v>
      </c>
      <c r="I212" s="19">
        <v>19.899999999999999</v>
      </c>
      <c r="J212" s="19">
        <v>3154.24</v>
      </c>
      <c r="K212" s="19" t="s">
        <v>21</v>
      </c>
      <c r="L212" s="19" t="s">
        <v>29</v>
      </c>
      <c r="M212" s="19">
        <v>171.15</v>
      </c>
      <c r="N212" s="19">
        <v>395.13</v>
      </c>
      <c r="O212" s="19" t="s">
        <v>52</v>
      </c>
      <c r="P212" s="21">
        <v>34.46</v>
      </c>
    </row>
    <row r="213" spans="1:16" x14ac:dyDescent="0.3">
      <c r="A213" s="17" t="s">
        <v>278</v>
      </c>
      <c r="B213" s="18">
        <v>43110</v>
      </c>
      <c r="C213" s="19">
        <v>2017</v>
      </c>
      <c r="D213" s="20" t="s">
        <v>36</v>
      </c>
      <c r="E213" s="19" t="s">
        <v>77</v>
      </c>
      <c r="F213" s="19" t="s">
        <v>38</v>
      </c>
      <c r="G213" s="19" t="s">
        <v>39</v>
      </c>
      <c r="H213" s="19">
        <v>84.15</v>
      </c>
      <c r="I213" s="19">
        <v>330.89</v>
      </c>
      <c r="J213" s="19">
        <v>3932.2</v>
      </c>
      <c r="K213" s="19" t="s">
        <v>21</v>
      </c>
      <c r="L213" s="19" t="s">
        <v>41</v>
      </c>
      <c r="M213" s="19">
        <v>191.35</v>
      </c>
      <c r="N213" s="19">
        <v>995.88</v>
      </c>
      <c r="O213" s="19" t="s">
        <v>42</v>
      </c>
      <c r="P213" s="21">
        <v>24.38</v>
      </c>
    </row>
    <row r="214" spans="1:16" x14ac:dyDescent="0.3">
      <c r="A214" s="17" t="s">
        <v>279</v>
      </c>
      <c r="B214" s="18">
        <v>41307</v>
      </c>
      <c r="C214" s="19">
        <v>2012</v>
      </c>
      <c r="D214" s="20" t="s">
        <v>59</v>
      </c>
      <c r="E214" s="19" t="s">
        <v>63</v>
      </c>
      <c r="F214" s="19" t="s">
        <v>38</v>
      </c>
      <c r="G214" s="19" t="s">
        <v>27</v>
      </c>
      <c r="H214" s="19">
        <v>74.510000000000005</v>
      </c>
      <c r="I214" s="19">
        <v>416.92</v>
      </c>
      <c r="J214" s="19">
        <v>5595.52</v>
      </c>
      <c r="K214" s="19" t="s">
        <v>21</v>
      </c>
      <c r="L214" s="19" t="s">
        <v>47</v>
      </c>
      <c r="M214" s="19">
        <v>193.18</v>
      </c>
      <c r="N214" s="19">
        <v>467.89</v>
      </c>
      <c r="O214" s="19" t="s">
        <v>61</v>
      </c>
      <c r="P214" s="21">
        <v>32.35</v>
      </c>
    </row>
    <row r="215" spans="1:16" x14ac:dyDescent="0.3">
      <c r="A215" s="17" t="s">
        <v>280</v>
      </c>
      <c r="B215" s="18">
        <v>44654</v>
      </c>
      <c r="C215" s="19">
        <v>2022</v>
      </c>
      <c r="D215" s="20" t="s">
        <v>44</v>
      </c>
      <c r="E215" s="19" t="s">
        <v>45</v>
      </c>
      <c r="F215" s="19" t="s">
        <v>19</v>
      </c>
      <c r="G215" s="19" t="s">
        <v>46</v>
      </c>
      <c r="H215" s="19">
        <v>55.09</v>
      </c>
      <c r="I215" s="19">
        <v>382.25</v>
      </c>
      <c r="J215" s="19">
        <v>6938.65</v>
      </c>
      <c r="K215" s="19" t="s">
        <v>21</v>
      </c>
      <c r="L215" s="19" t="s">
        <v>29</v>
      </c>
      <c r="M215" s="19">
        <v>234</v>
      </c>
      <c r="N215" s="19">
        <v>853.67</v>
      </c>
      <c r="O215" s="19" t="s">
        <v>42</v>
      </c>
      <c r="P215" s="21">
        <v>24.47</v>
      </c>
    </row>
    <row r="216" spans="1:16" x14ac:dyDescent="0.3">
      <c r="A216" s="17" t="s">
        <v>281</v>
      </c>
      <c r="B216" s="18">
        <v>40883</v>
      </c>
      <c r="C216" s="19">
        <v>2011</v>
      </c>
      <c r="D216" s="20" t="s">
        <v>31</v>
      </c>
      <c r="E216" s="19" t="s">
        <v>32</v>
      </c>
      <c r="F216" s="19" t="s">
        <v>38</v>
      </c>
      <c r="G216" s="19" t="s">
        <v>64</v>
      </c>
      <c r="H216" s="19">
        <v>77.790000000000006</v>
      </c>
      <c r="I216" s="19">
        <v>188.38</v>
      </c>
      <c r="J216" s="19">
        <v>2421.6799999999998</v>
      </c>
      <c r="K216" s="19" t="s">
        <v>34</v>
      </c>
      <c r="L216" s="19" t="s">
        <v>41</v>
      </c>
      <c r="M216" s="19">
        <v>265.26</v>
      </c>
      <c r="N216" s="19">
        <v>810.26</v>
      </c>
      <c r="O216" s="19" t="s">
        <v>52</v>
      </c>
      <c r="P216" s="21">
        <v>22.49</v>
      </c>
    </row>
    <row r="217" spans="1:16" x14ac:dyDescent="0.3">
      <c r="A217" s="17" t="s">
        <v>282</v>
      </c>
      <c r="B217" s="18">
        <v>44844</v>
      </c>
      <c r="C217" s="19">
        <v>2022</v>
      </c>
      <c r="D217" s="20" t="s">
        <v>44</v>
      </c>
      <c r="E217" s="19" t="s">
        <v>45</v>
      </c>
      <c r="F217" s="19" t="s">
        <v>33</v>
      </c>
      <c r="G217" s="19" t="s">
        <v>27</v>
      </c>
      <c r="H217" s="19">
        <v>35.729999999999997</v>
      </c>
      <c r="I217" s="19">
        <v>95.99</v>
      </c>
      <c r="J217" s="19">
        <v>2686.51</v>
      </c>
      <c r="K217" s="19" t="s">
        <v>40</v>
      </c>
      <c r="L217" s="19" t="s">
        <v>22</v>
      </c>
      <c r="M217" s="19">
        <v>130.91</v>
      </c>
      <c r="N217" s="19">
        <v>904.05</v>
      </c>
      <c r="O217" s="19" t="s">
        <v>70</v>
      </c>
      <c r="P217" s="21">
        <v>28.59</v>
      </c>
    </row>
    <row r="218" spans="1:16" x14ac:dyDescent="0.3">
      <c r="A218" s="17" t="s">
        <v>283</v>
      </c>
      <c r="B218" s="18">
        <v>40583</v>
      </c>
      <c r="C218" s="19">
        <v>2010</v>
      </c>
      <c r="D218" s="20" t="s">
        <v>103</v>
      </c>
      <c r="E218" s="19" t="s">
        <v>107</v>
      </c>
      <c r="F218" s="19" t="s">
        <v>38</v>
      </c>
      <c r="G218" s="19" t="s">
        <v>39</v>
      </c>
      <c r="H218" s="19">
        <v>13.56</v>
      </c>
      <c r="I218" s="19">
        <v>84.02</v>
      </c>
      <c r="J218" s="19">
        <v>6196.47</v>
      </c>
      <c r="K218" s="19" t="s">
        <v>40</v>
      </c>
      <c r="L218" s="19" t="s">
        <v>29</v>
      </c>
      <c r="M218" s="19">
        <v>86.56</v>
      </c>
      <c r="N218" s="19">
        <v>522.1</v>
      </c>
      <c r="O218" s="19" t="s">
        <v>42</v>
      </c>
      <c r="P218" s="21">
        <v>31.42</v>
      </c>
    </row>
    <row r="219" spans="1:16" x14ac:dyDescent="0.3">
      <c r="A219" s="17" t="s">
        <v>284</v>
      </c>
      <c r="B219" s="18">
        <v>44260</v>
      </c>
      <c r="C219" s="19">
        <v>2020</v>
      </c>
      <c r="D219" s="20" t="s">
        <v>103</v>
      </c>
      <c r="E219" s="19" t="s">
        <v>228</v>
      </c>
      <c r="F219" s="19" t="s">
        <v>38</v>
      </c>
      <c r="G219" s="19" t="s">
        <v>39</v>
      </c>
      <c r="H219" s="19">
        <v>42.01</v>
      </c>
      <c r="I219" s="19">
        <v>155.94</v>
      </c>
      <c r="J219" s="19">
        <v>3711.95</v>
      </c>
      <c r="K219" s="19" t="s">
        <v>21</v>
      </c>
      <c r="L219" s="19" t="s">
        <v>49</v>
      </c>
      <c r="M219" s="19">
        <v>150.71</v>
      </c>
      <c r="N219" s="19">
        <v>949.8</v>
      </c>
      <c r="O219" s="19" t="s">
        <v>70</v>
      </c>
      <c r="P219" s="21">
        <v>26.82</v>
      </c>
    </row>
    <row r="220" spans="1:16" x14ac:dyDescent="0.3">
      <c r="A220" s="17" t="s">
        <v>285</v>
      </c>
      <c r="B220" s="18">
        <v>44679</v>
      </c>
      <c r="C220" s="19">
        <v>2022</v>
      </c>
      <c r="D220" s="20" t="s">
        <v>59</v>
      </c>
      <c r="E220" s="19" t="s">
        <v>60</v>
      </c>
      <c r="F220" s="19" t="s">
        <v>19</v>
      </c>
      <c r="G220" s="19" t="s">
        <v>64</v>
      </c>
      <c r="H220" s="19">
        <v>73.36</v>
      </c>
      <c r="I220" s="19">
        <v>275.14999999999998</v>
      </c>
      <c r="J220" s="19">
        <v>3750.7</v>
      </c>
      <c r="K220" s="19" t="s">
        <v>34</v>
      </c>
      <c r="L220" s="19" t="s">
        <v>41</v>
      </c>
      <c r="M220" s="19">
        <v>262.52999999999997</v>
      </c>
      <c r="N220" s="19">
        <v>995.68</v>
      </c>
      <c r="O220" s="19" t="s">
        <v>52</v>
      </c>
      <c r="P220" s="21">
        <v>23.27</v>
      </c>
    </row>
    <row r="221" spans="1:16" x14ac:dyDescent="0.3">
      <c r="A221" s="17" t="s">
        <v>286</v>
      </c>
      <c r="B221" s="18">
        <v>42426</v>
      </c>
      <c r="C221" s="19">
        <v>2015</v>
      </c>
      <c r="D221" s="20" t="s">
        <v>36</v>
      </c>
      <c r="E221" s="19" t="s">
        <v>51</v>
      </c>
      <c r="F221" s="19" t="s">
        <v>38</v>
      </c>
      <c r="G221" s="19" t="s">
        <v>20</v>
      </c>
      <c r="H221" s="19">
        <v>55.18</v>
      </c>
      <c r="I221" s="19">
        <v>98.42</v>
      </c>
      <c r="J221" s="19">
        <v>1783.57</v>
      </c>
      <c r="K221" s="19" t="s">
        <v>28</v>
      </c>
      <c r="L221" s="19" t="s">
        <v>22</v>
      </c>
      <c r="M221" s="19">
        <v>247.08</v>
      </c>
      <c r="N221" s="19">
        <v>1094.1500000000001</v>
      </c>
      <c r="O221" s="19" t="s">
        <v>23</v>
      </c>
      <c r="P221" s="21">
        <v>20.69</v>
      </c>
    </row>
    <row r="222" spans="1:16" x14ac:dyDescent="0.3">
      <c r="A222" s="17" t="s">
        <v>287</v>
      </c>
      <c r="B222" s="18">
        <v>43132</v>
      </c>
      <c r="C222" s="19">
        <v>2017</v>
      </c>
      <c r="D222" s="20" t="s">
        <v>25</v>
      </c>
      <c r="E222" s="19" t="s">
        <v>26</v>
      </c>
      <c r="F222" s="19" t="s">
        <v>38</v>
      </c>
      <c r="G222" s="19" t="s">
        <v>64</v>
      </c>
      <c r="H222" s="19">
        <v>99.19</v>
      </c>
      <c r="I222" s="19">
        <v>353.79</v>
      </c>
      <c r="J222" s="19">
        <v>3566.8</v>
      </c>
      <c r="K222" s="19" t="s">
        <v>40</v>
      </c>
      <c r="L222" s="19" t="s">
        <v>49</v>
      </c>
      <c r="M222" s="19">
        <v>270.54000000000002</v>
      </c>
      <c r="N222" s="19">
        <v>501.87</v>
      </c>
      <c r="O222" s="19" t="s">
        <v>70</v>
      </c>
      <c r="P222" s="21">
        <v>21.4</v>
      </c>
    </row>
    <row r="223" spans="1:16" x14ac:dyDescent="0.3">
      <c r="A223" s="17" t="s">
        <v>288</v>
      </c>
      <c r="B223" s="18">
        <v>43952</v>
      </c>
      <c r="C223" s="19">
        <v>2020</v>
      </c>
      <c r="D223" s="20" t="s">
        <v>25</v>
      </c>
      <c r="E223" s="19" t="s">
        <v>87</v>
      </c>
      <c r="F223" s="19" t="s">
        <v>19</v>
      </c>
      <c r="G223" s="19" t="s">
        <v>56</v>
      </c>
      <c r="H223" s="19">
        <v>6.13</v>
      </c>
      <c r="I223" s="19">
        <v>29.14</v>
      </c>
      <c r="J223" s="19">
        <v>4753.63</v>
      </c>
      <c r="K223" s="19" t="s">
        <v>40</v>
      </c>
      <c r="L223" s="19" t="s">
        <v>22</v>
      </c>
      <c r="M223" s="19">
        <v>157.31</v>
      </c>
      <c r="N223" s="19">
        <v>291.2</v>
      </c>
      <c r="O223" s="19" t="s">
        <v>23</v>
      </c>
      <c r="P223" s="21">
        <v>20.02</v>
      </c>
    </row>
    <row r="224" spans="1:16" x14ac:dyDescent="0.3">
      <c r="A224" s="17" t="s">
        <v>289</v>
      </c>
      <c r="B224" s="18">
        <v>41395</v>
      </c>
      <c r="C224" s="19">
        <v>2013</v>
      </c>
      <c r="D224" s="20" t="s">
        <v>103</v>
      </c>
      <c r="E224" s="19" t="s">
        <v>228</v>
      </c>
      <c r="F224" s="19" t="s">
        <v>19</v>
      </c>
      <c r="G224" s="19" t="s">
        <v>39</v>
      </c>
      <c r="H224" s="19">
        <v>45.06</v>
      </c>
      <c r="I224" s="19">
        <v>47.24</v>
      </c>
      <c r="J224" s="19">
        <v>1048.3800000000001</v>
      </c>
      <c r="K224" s="19" t="s">
        <v>34</v>
      </c>
      <c r="L224" s="19" t="s">
        <v>22</v>
      </c>
      <c r="M224" s="19">
        <v>254.28</v>
      </c>
      <c r="N224" s="19">
        <v>1188.1500000000001</v>
      </c>
      <c r="O224" s="19" t="s">
        <v>52</v>
      </c>
      <c r="P224" s="21">
        <v>30.41</v>
      </c>
    </row>
    <row r="225" spans="1:16" x14ac:dyDescent="0.3">
      <c r="A225" s="17" t="s">
        <v>290</v>
      </c>
      <c r="B225" s="18">
        <v>40677</v>
      </c>
      <c r="C225" s="19">
        <v>2011</v>
      </c>
      <c r="D225" s="20" t="s">
        <v>103</v>
      </c>
      <c r="E225" s="19" t="s">
        <v>107</v>
      </c>
      <c r="F225" s="19" t="s">
        <v>19</v>
      </c>
      <c r="G225" s="19" t="s">
        <v>64</v>
      </c>
      <c r="H225" s="19">
        <v>11.22</v>
      </c>
      <c r="I225" s="19">
        <v>35.96</v>
      </c>
      <c r="J225" s="19">
        <v>3205.37</v>
      </c>
      <c r="K225" s="19" t="s">
        <v>34</v>
      </c>
      <c r="L225" s="19" t="s">
        <v>41</v>
      </c>
      <c r="M225" s="19">
        <v>84.28</v>
      </c>
      <c r="N225" s="19">
        <v>973.46</v>
      </c>
      <c r="O225" s="19" t="s">
        <v>42</v>
      </c>
      <c r="P225" s="21">
        <v>29.62</v>
      </c>
    </row>
    <row r="226" spans="1:16" x14ac:dyDescent="0.3">
      <c r="A226" s="17" t="s">
        <v>291</v>
      </c>
      <c r="B226" s="18">
        <v>43730</v>
      </c>
      <c r="C226" s="19">
        <v>2019</v>
      </c>
      <c r="D226" s="20" t="s">
        <v>25</v>
      </c>
      <c r="E226" s="19" t="s">
        <v>69</v>
      </c>
      <c r="F226" s="19" t="s">
        <v>33</v>
      </c>
      <c r="G226" s="19" t="s">
        <v>27</v>
      </c>
      <c r="H226" s="19">
        <v>65.349999999999994</v>
      </c>
      <c r="I226" s="19">
        <v>237.91</v>
      </c>
      <c r="J226" s="19">
        <v>3640.6</v>
      </c>
      <c r="K226" s="19" t="s">
        <v>40</v>
      </c>
      <c r="L226" s="19" t="s">
        <v>41</v>
      </c>
      <c r="M226" s="19">
        <v>207.02</v>
      </c>
      <c r="N226" s="19">
        <v>351.37</v>
      </c>
      <c r="O226" s="19" t="s">
        <v>52</v>
      </c>
      <c r="P226" s="21">
        <v>29.24</v>
      </c>
    </row>
    <row r="227" spans="1:16" x14ac:dyDescent="0.3">
      <c r="A227" s="17" t="s">
        <v>292</v>
      </c>
      <c r="B227" s="18">
        <v>41124</v>
      </c>
      <c r="C227" s="19">
        <v>2012</v>
      </c>
      <c r="D227" s="20" t="s">
        <v>25</v>
      </c>
      <c r="E227" s="19" t="s">
        <v>26</v>
      </c>
      <c r="F227" s="19" t="s">
        <v>33</v>
      </c>
      <c r="G227" s="19" t="s">
        <v>27</v>
      </c>
      <c r="H227" s="19">
        <v>73.27</v>
      </c>
      <c r="I227" s="19">
        <v>227.81</v>
      </c>
      <c r="J227" s="19">
        <v>3109.21</v>
      </c>
      <c r="K227" s="19" t="s">
        <v>28</v>
      </c>
      <c r="L227" s="19" t="s">
        <v>47</v>
      </c>
      <c r="M227" s="19">
        <v>128.63</v>
      </c>
      <c r="N227" s="19">
        <v>339.83</v>
      </c>
      <c r="O227" s="19" t="s">
        <v>70</v>
      </c>
      <c r="P227" s="21">
        <v>29.67</v>
      </c>
    </row>
    <row r="228" spans="1:16" x14ac:dyDescent="0.3">
      <c r="A228" s="17" t="s">
        <v>293</v>
      </c>
      <c r="B228" s="18">
        <v>44305</v>
      </c>
      <c r="C228" s="19">
        <v>2021</v>
      </c>
      <c r="D228" s="20" t="s">
        <v>59</v>
      </c>
      <c r="E228" s="19" t="s">
        <v>93</v>
      </c>
      <c r="F228" s="19" t="s">
        <v>19</v>
      </c>
      <c r="G228" s="19" t="s">
        <v>20</v>
      </c>
      <c r="H228" s="19">
        <v>78.12</v>
      </c>
      <c r="I228" s="19">
        <v>401.76</v>
      </c>
      <c r="J228" s="19">
        <v>5142.8599999999997</v>
      </c>
      <c r="K228" s="19" t="s">
        <v>34</v>
      </c>
      <c r="L228" s="19" t="s">
        <v>22</v>
      </c>
      <c r="M228" s="19">
        <v>101.36</v>
      </c>
      <c r="N228" s="19">
        <v>806.93</v>
      </c>
      <c r="O228" s="19" t="s">
        <v>42</v>
      </c>
      <c r="P228" s="21">
        <v>31.22</v>
      </c>
    </row>
    <row r="229" spans="1:16" x14ac:dyDescent="0.3">
      <c r="A229" s="17" t="s">
        <v>294</v>
      </c>
      <c r="B229" s="18">
        <v>43073</v>
      </c>
      <c r="C229" s="19">
        <v>2017</v>
      </c>
      <c r="D229" s="20" t="s">
        <v>44</v>
      </c>
      <c r="E229" s="19" t="s">
        <v>45</v>
      </c>
      <c r="F229" s="19" t="s">
        <v>38</v>
      </c>
      <c r="G229" s="19" t="s">
        <v>64</v>
      </c>
      <c r="H229" s="19">
        <v>24.87</v>
      </c>
      <c r="I229" s="19">
        <v>120.08</v>
      </c>
      <c r="J229" s="19">
        <v>4828.49</v>
      </c>
      <c r="K229" s="19" t="s">
        <v>21</v>
      </c>
      <c r="L229" s="19" t="s">
        <v>29</v>
      </c>
      <c r="M229" s="19">
        <v>182.07</v>
      </c>
      <c r="N229" s="19">
        <v>1177.7</v>
      </c>
      <c r="O229" s="19" t="s">
        <v>70</v>
      </c>
      <c r="P229" s="21">
        <v>34.01</v>
      </c>
    </row>
    <row r="230" spans="1:16" x14ac:dyDescent="0.3">
      <c r="A230" s="17" t="s">
        <v>295</v>
      </c>
      <c r="B230" s="18">
        <v>42690</v>
      </c>
      <c r="C230" s="19">
        <v>2016</v>
      </c>
      <c r="D230" s="20" t="s">
        <v>44</v>
      </c>
      <c r="E230" s="19" t="s">
        <v>67</v>
      </c>
      <c r="F230" s="19" t="s">
        <v>38</v>
      </c>
      <c r="G230" s="19" t="s">
        <v>27</v>
      </c>
      <c r="H230" s="19">
        <v>68.61</v>
      </c>
      <c r="I230" s="19">
        <v>382.59</v>
      </c>
      <c r="J230" s="19">
        <v>5576.36</v>
      </c>
      <c r="K230" s="19" t="s">
        <v>21</v>
      </c>
      <c r="L230" s="19" t="s">
        <v>29</v>
      </c>
      <c r="M230" s="19">
        <v>54.17</v>
      </c>
      <c r="N230" s="19">
        <v>267.52999999999997</v>
      </c>
      <c r="O230" s="19" t="s">
        <v>70</v>
      </c>
      <c r="P230" s="21">
        <v>23.24</v>
      </c>
    </row>
    <row r="231" spans="1:16" x14ac:dyDescent="0.3">
      <c r="A231" s="17" t="s">
        <v>296</v>
      </c>
      <c r="B231" s="18">
        <v>43927</v>
      </c>
      <c r="C231" s="19">
        <v>2020</v>
      </c>
      <c r="D231" s="20" t="s">
        <v>59</v>
      </c>
      <c r="E231" s="19" t="s">
        <v>63</v>
      </c>
      <c r="F231" s="19" t="s">
        <v>19</v>
      </c>
      <c r="G231" s="19" t="s">
        <v>27</v>
      </c>
      <c r="H231" s="19">
        <v>76.94</v>
      </c>
      <c r="I231" s="19">
        <v>272.48</v>
      </c>
      <c r="J231" s="19">
        <v>3541.45</v>
      </c>
      <c r="K231" s="19" t="s">
        <v>28</v>
      </c>
      <c r="L231" s="19" t="s">
        <v>49</v>
      </c>
      <c r="M231" s="19">
        <v>70.61</v>
      </c>
      <c r="N231" s="19">
        <v>736.56</v>
      </c>
      <c r="O231" s="19" t="s">
        <v>61</v>
      </c>
      <c r="P231" s="21">
        <v>22.29</v>
      </c>
    </row>
    <row r="232" spans="1:16" x14ac:dyDescent="0.3">
      <c r="A232" s="17" t="s">
        <v>297</v>
      </c>
      <c r="B232" s="18">
        <v>41448</v>
      </c>
      <c r="C232" s="19">
        <v>2013</v>
      </c>
      <c r="D232" s="20" t="s">
        <v>25</v>
      </c>
      <c r="E232" s="19" t="s">
        <v>69</v>
      </c>
      <c r="F232" s="19" t="s">
        <v>33</v>
      </c>
      <c r="G232" s="19" t="s">
        <v>27</v>
      </c>
      <c r="H232" s="19">
        <v>33.35</v>
      </c>
      <c r="I232" s="19">
        <v>150.69999999999999</v>
      </c>
      <c r="J232" s="19">
        <v>4518.62</v>
      </c>
      <c r="K232" s="19" t="s">
        <v>21</v>
      </c>
      <c r="L232" s="19" t="s">
        <v>29</v>
      </c>
      <c r="M232" s="19">
        <v>127.54</v>
      </c>
      <c r="N232" s="19">
        <v>637.49</v>
      </c>
      <c r="O232" s="19" t="s">
        <v>42</v>
      </c>
      <c r="P232" s="21">
        <v>20.87</v>
      </c>
    </row>
    <row r="233" spans="1:16" x14ac:dyDescent="0.3">
      <c r="A233" s="17" t="s">
        <v>298</v>
      </c>
      <c r="B233" s="18">
        <v>43616</v>
      </c>
      <c r="C233" s="19">
        <v>2019</v>
      </c>
      <c r="D233" s="20" t="s">
        <v>25</v>
      </c>
      <c r="E233" s="19" t="s">
        <v>87</v>
      </c>
      <c r="F233" s="19" t="s">
        <v>19</v>
      </c>
      <c r="G233" s="19" t="s">
        <v>64</v>
      </c>
      <c r="H233" s="19">
        <v>31.62</v>
      </c>
      <c r="I233" s="19">
        <v>172.33</v>
      </c>
      <c r="J233" s="19">
        <v>5450.16</v>
      </c>
      <c r="K233" s="19" t="s">
        <v>40</v>
      </c>
      <c r="L233" s="19" t="s">
        <v>49</v>
      </c>
      <c r="M233" s="19">
        <v>79.86</v>
      </c>
      <c r="N233" s="19">
        <v>907.9</v>
      </c>
      <c r="O233" s="19" t="s">
        <v>23</v>
      </c>
      <c r="P233" s="21">
        <v>22.46</v>
      </c>
    </row>
    <row r="234" spans="1:16" x14ac:dyDescent="0.3">
      <c r="A234" s="17" t="s">
        <v>299</v>
      </c>
      <c r="B234" s="18">
        <v>44679</v>
      </c>
      <c r="C234" s="19">
        <v>2022</v>
      </c>
      <c r="D234" s="20" t="s">
        <v>59</v>
      </c>
      <c r="E234" s="19" t="s">
        <v>93</v>
      </c>
      <c r="F234" s="19" t="s">
        <v>19</v>
      </c>
      <c r="G234" s="19" t="s">
        <v>20</v>
      </c>
      <c r="H234" s="19">
        <v>17.53</v>
      </c>
      <c r="I234" s="19">
        <v>30.88</v>
      </c>
      <c r="J234" s="19">
        <v>1761.58</v>
      </c>
      <c r="K234" s="19" t="s">
        <v>34</v>
      </c>
      <c r="L234" s="19" t="s">
        <v>49</v>
      </c>
      <c r="M234" s="19">
        <v>233.23</v>
      </c>
      <c r="N234" s="19">
        <v>318.06</v>
      </c>
      <c r="O234" s="19" t="s">
        <v>23</v>
      </c>
      <c r="P234" s="21">
        <v>25.03</v>
      </c>
    </row>
    <row r="235" spans="1:16" x14ac:dyDescent="0.3">
      <c r="A235" s="17" t="s">
        <v>300</v>
      </c>
      <c r="B235" s="18">
        <v>41746</v>
      </c>
      <c r="C235" s="19">
        <v>2014</v>
      </c>
      <c r="D235" s="20" t="s">
        <v>59</v>
      </c>
      <c r="E235" s="19" t="s">
        <v>60</v>
      </c>
      <c r="F235" s="19" t="s">
        <v>19</v>
      </c>
      <c r="G235" s="19" t="s">
        <v>27</v>
      </c>
      <c r="H235" s="19">
        <v>63.13</v>
      </c>
      <c r="I235" s="19">
        <v>251.06</v>
      </c>
      <c r="J235" s="19">
        <v>3976.89</v>
      </c>
      <c r="K235" s="19" t="s">
        <v>34</v>
      </c>
      <c r="L235" s="19" t="s">
        <v>22</v>
      </c>
      <c r="M235" s="19">
        <v>63.86</v>
      </c>
      <c r="N235" s="19">
        <v>1059.3599999999999</v>
      </c>
      <c r="O235" s="19" t="s">
        <v>42</v>
      </c>
      <c r="P235" s="21">
        <v>25.52</v>
      </c>
    </row>
    <row r="236" spans="1:16" x14ac:dyDescent="0.3">
      <c r="A236" s="17" t="s">
        <v>301</v>
      </c>
      <c r="B236" s="18">
        <v>44393</v>
      </c>
      <c r="C236" s="19">
        <v>2021</v>
      </c>
      <c r="D236" s="20" t="s">
        <v>59</v>
      </c>
      <c r="E236" s="19" t="s">
        <v>93</v>
      </c>
      <c r="F236" s="19" t="s">
        <v>33</v>
      </c>
      <c r="G236" s="19" t="s">
        <v>56</v>
      </c>
      <c r="H236" s="19">
        <v>74.34</v>
      </c>
      <c r="I236" s="19">
        <v>75.489999999999995</v>
      </c>
      <c r="J236" s="19">
        <v>1015.41</v>
      </c>
      <c r="K236" s="19" t="s">
        <v>21</v>
      </c>
      <c r="L236" s="19" t="s">
        <v>22</v>
      </c>
      <c r="M236" s="19">
        <v>111.14</v>
      </c>
      <c r="N236" s="19">
        <v>671.76</v>
      </c>
      <c r="O236" s="19" t="s">
        <v>52</v>
      </c>
      <c r="P236" s="21">
        <v>33.799999999999997</v>
      </c>
    </row>
    <row r="237" spans="1:16" x14ac:dyDescent="0.3">
      <c r="A237" s="17" t="s">
        <v>302</v>
      </c>
      <c r="B237" s="18">
        <v>44330</v>
      </c>
      <c r="C237" s="19">
        <v>2021</v>
      </c>
      <c r="D237" s="20" t="s">
        <v>59</v>
      </c>
      <c r="E237" s="19" t="s">
        <v>93</v>
      </c>
      <c r="F237" s="19" t="s">
        <v>19</v>
      </c>
      <c r="G237" s="19" t="s">
        <v>46</v>
      </c>
      <c r="H237" s="19">
        <v>23.23</v>
      </c>
      <c r="I237" s="19">
        <v>57.83</v>
      </c>
      <c r="J237" s="19">
        <v>2489.58</v>
      </c>
      <c r="K237" s="19" t="s">
        <v>34</v>
      </c>
      <c r="L237" s="19" t="s">
        <v>22</v>
      </c>
      <c r="M237" s="19">
        <v>117.81</v>
      </c>
      <c r="N237" s="19">
        <v>277.89</v>
      </c>
      <c r="O237" s="19" t="s">
        <v>70</v>
      </c>
      <c r="P237" s="21">
        <v>21.79</v>
      </c>
    </row>
    <row r="238" spans="1:16" x14ac:dyDescent="0.3">
      <c r="A238" s="17" t="s">
        <v>303</v>
      </c>
      <c r="B238" s="18">
        <v>44687</v>
      </c>
      <c r="C238" s="19">
        <v>2022</v>
      </c>
      <c r="D238" s="20" t="s">
        <v>103</v>
      </c>
      <c r="E238" s="19" t="s">
        <v>104</v>
      </c>
      <c r="F238" s="19" t="s">
        <v>19</v>
      </c>
      <c r="G238" s="19" t="s">
        <v>64</v>
      </c>
      <c r="H238" s="19">
        <v>95.45</v>
      </c>
      <c r="I238" s="19">
        <v>134.91999999999999</v>
      </c>
      <c r="J238" s="19">
        <v>1413.56</v>
      </c>
      <c r="K238" s="19" t="s">
        <v>28</v>
      </c>
      <c r="L238" s="19" t="s">
        <v>29</v>
      </c>
      <c r="M238" s="19">
        <v>266.51</v>
      </c>
      <c r="N238" s="19">
        <v>973.53</v>
      </c>
      <c r="O238" s="19" t="s">
        <v>70</v>
      </c>
      <c r="P238" s="21">
        <v>24.91</v>
      </c>
    </row>
    <row r="239" spans="1:16" x14ac:dyDescent="0.3">
      <c r="A239" s="17" t="s">
        <v>304</v>
      </c>
      <c r="B239" s="18">
        <v>41629</v>
      </c>
      <c r="C239" s="19">
        <v>2013</v>
      </c>
      <c r="D239" s="20" t="s">
        <v>25</v>
      </c>
      <c r="E239" s="19" t="s">
        <v>87</v>
      </c>
      <c r="F239" s="19" t="s">
        <v>38</v>
      </c>
      <c r="G239" s="19" t="s">
        <v>27</v>
      </c>
      <c r="H239" s="19">
        <v>78.67</v>
      </c>
      <c r="I239" s="19">
        <v>427.76</v>
      </c>
      <c r="J239" s="19">
        <v>5437.46</v>
      </c>
      <c r="K239" s="19" t="s">
        <v>40</v>
      </c>
      <c r="L239" s="19" t="s">
        <v>47</v>
      </c>
      <c r="M239" s="19">
        <v>165.98</v>
      </c>
      <c r="N239" s="19">
        <v>791.69</v>
      </c>
      <c r="O239" s="19" t="s">
        <v>52</v>
      </c>
      <c r="P239" s="21">
        <v>34.97</v>
      </c>
    </row>
    <row r="240" spans="1:16" x14ac:dyDescent="0.3">
      <c r="A240" s="17" t="s">
        <v>305</v>
      </c>
      <c r="B240" s="18">
        <v>41139</v>
      </c>
      <c r="C240" s="19">
        <v>2012</v>
      </c>
      <c r="D240" s="20" t="s">
        <v>44</v>
      </c>
      <c r="E240" s="19" t="s">
        <v>45</v>
      </c>
      <c r="F240" s="19" t="s">
        <v>33</v>
      </c>
      <c r="G240" s="19" t="s">
        <v>46</v>
      </c>
      <c r="H240" s="19">
        <v>3.37</v>
      </c>
      <c r="I240" s="19">
        <v>14.32</v>
      </c>
      <c r="J240" s="19">
        <v>4249.2700000000004</v>
      </c>
      <c r="K240" s="19" t="s">
        <v>21</v>
      </c>
      <c r="L240" s="19" t="s">
        <v>22</v>
      </c>
      <c r="M240" s="19">
        <v>287.75</v>
      </c>
      <c r="N240" s="19">
        <v>201.46</v>
      </c>
      <c r="O240" s="19" t="s">
        <v>52</v>
      </c>
      <c r="P240" s="21">
        <v>32.74</v>
      </c>
    </row>
    <row r="241" spans="1:16" x14ac:dyDescent="0.3">
      <c r="A241" s="17" t="s">
        <v>306</v>
      </c>
      <c r="B241" s="18">
        <v>41712</v>
      </c>
      <c r="C241" s="19">
        <v>2013</v>
      </c>
      <c r="D241" s="20" t="s">
        <v>103</v>
      </c>
      <c r="E241" s="19" t="s">
        <v>228</v>
      </c>
      <c r="F241" s="19" t="s">
        <v>38</v>
      </c>
      <c r="G241" s="19" t="s">
        <v>46</v>
      </c>
      <c r="H241" s="19">
        <v>96.16</v>
      </c>
      <c r="I241" s="19">
        <v>657.29</v>
      </c>
      <c r="J241" s="19">
        <v>6835.36</v>
      </c>
      <c r="K241" s="19" t="s">
        <v>40</v>
      </c>
      <c r="L241" s="19" t="s">
        <v>29</v>
      </c>
      <c r="M241" s="19">
        <v>227.91</v>
      </c>
      <c r="N241" s="19">
        <v>293.02999999999997</v>
      </c>
      <c r="O241" s="19" t="s">
        <v>42</v>
      </c>
      <c r="P241" s="21">
        <v>33.46</v>
      </c>
    </row>
    <row r="242" spans="1:16" x14ac:dyDescent="0.3">
      <c r="A242" s="17" t="s">
        <v>307</v>
      </c>
      <c r="B242" s="18">
        <v>42834</v>
      </c>
      <c r="C242" s="19">
        <v>2017</v>
      </c>
      <c r="D242" s="20" t="s">
        <v>17</v>
      </c>
      <c r="E242" s="19" t="s">
        <v>72</v>
      </c>
      <c r="F242" s="19" t="s">
        <v>19</v>
      </c>
      <c r="G242" s="19" t="s">
        <v>64</v>
      </c>
      <c r="H242" s="19">
        <v>58.5</v>
      </c>
      <c r="I242" s="19">
        <v>235.91</v>
      </c>
      <c r="J242" s="19">
        <v>4032.57</v>
      </c>
      <c r="K242" s="19" t="s">
        <v>28</v>
      </c>
      <c r="L242" s="19" t="s">
        <v>41</v>
      </c>
      <c r="M242" s="19">
        <v>68.709999999999994</v>
      </c>
      <c r="N242" s="19">
        <v>767.82</v>
      </c>
      <c r="O242" s="19" t="s">
        <v>52</v>
      </c>
      <c r="P242" s="21">
        <v>29.94</v>
      </c>
    </row>
    <row r="243" spans="1:16" x14ac:dyDescent="0.3">
      <c r="A243" s="17" t="s">
        <v>308</v>
      </c>
      <c r="B243" s="18">
        <v>42458</v>
      </c>
      <c r="C243" s="19">
        <v>2015</v>
      </c>
      <c r="D243" s="20" t="s">
        <v>31</v>
      </c>
      <c r="E243" s="19" t="s">
        <v>32</v>
      </c>
      <c r="F243" s="19" t="s">
        <v>38</v>
      </c>
      <c r="G243" s="19" t="s">
        <v>39</v>
      </c>
      <c r="H243" s="19">
        <v>83.36</v>
      </c>
      <c r="I243" s="19">
        <v>246.54</v>
      </c>
      <c r="J243" s="19">
        <v>2957.51</v>
      </c>
      <c r="K243" s="19" t="s">
        <v>28</v>
      </c>
      <c r="L243" s="19" t="s">
        <v>22</v>
      </c>
      <c r="M243" s="19">
        <v>117.99</v>
      </c>
      <c r="N243" s="19">
        <v>274.69</v>
      </c>
      <c r="O243" s="19" t="s">
        <v>42</v>
      </c>
      <c r="P243" s="21">
        <v>22.04</v>
      </c>
    </row>
    <row r="244" spans="1:16" x14ac:dyDescent="0.3">
      <c r="A244" s="17" t="s">
        <v>309</v>
      </c>
      <c r="B244" s="18">
        <v>41244</v>
      </c>
      <c r="C244" s="19">
        <v>2012</v>
      </c>
      <c r="D244" s="20" t="s">
        <v>103</v>
      </c>
      <c r="E244" s="19" t="s">
        <v>104</v>
      </c>
      <c r="F244" s="19" t="s">
        <v>38</v>
      </c>
      <c r="G244" s="19" t="s">
        <v>46</v>
      </c>
      <c r="H244" s="19">
        <v>32.090000000000003</v>
      </c>
      <c r="I244" s="19">
        <v>55.34</v>
      </c>
      <c r="J244" s="19">
        <v>1724.42</v>
      </c>
      <c r="K244" s="19" t="s">
        <v>34</v>
      </c>
      <c r="L244" s="19" t="s">
        <v>22</v>
      </c>
      <c r="M244" s="19">
        <v>291.16000000000003</v>
      </c>
      <c r="N244" s="19">
        <v>407.64</v>
      </c>
      <c r="O244" s="19" t="s">
        <v>70</v>
      </c>
      <c r="P244" s="21">
        <v>26.95</v>
      </c>
    </row>
    <row r="245" spans="1:16" x14ac:dyDescent="0.3">
      <c r="A245" s="17" t="s">
        <v>310</v>
      </c>
      <c r="B245" s="18">
        <v>41733</v>
      </c>
      <c r="C245" s="19">
        <v>2014</v>
      </c>
      <c r="D245" s="20" t="s">
        <v>103</v>
      </c>
      <c r="E245" s="19" t="s">
        <v>228</v>
      </c>
      <c r="F245" s="19" t="s">
        <v>19</v>
      </c>
      <c r="G245" s="19" t="s">
        <v>39</v>
      </c>
      <c r="H245" s="19">
        <v>60.73</v>
      </c>
      <c r="I245" s="19">
        <v>139.08000000000001</v>
      </c>
      <c r="J245" s="19">
        <v>2290.12</v>
      </c>
      <c r="K245" s="19" t="s">
        <v>34</v>
      </c>
      <c r="L245" s="19" t="s">
        <v>49</v>
      </c>
      <c r="M245" s="19">
        <v>87.08</v>
      </c>
      <c r="N245" s="19">
        <v>911.16</v>
      </c>
      <c r="O245" s="19" t="s">
        <v>70</v>
      </c>
      <c r="P245" s="21">
        <v>25.94</v>
      </c>
    </row>
    <row r="246" spans="1:16" x14ac:dyDescent="0.3">
      <c r="A246" s="17" t="s">
        <v>311</v>
      </c>
      <c r="B246" s="18">
        <v>40498</v>
      </c>
      <c r="C246" s="19">
        <v>2010</v>
      </c>
      <c r="D246" s="20" t="s">
        <v>31</v>
      </c>
      <c r="E246" s="19" t="s">
        <v>82</v>
      </c>
      <c r="F246" s="19" t="s">
        <v>38</v>
      </c>
      <c r="G246" s="19" t="s">
        <v>46</v>
      </c>
      <c r="H246" s="19">
        <v>56.04</v>
      </c>
      <c r="I246" s="19">
        <v>241.01</v>
      </c>
      <c r="J246" s="19">
        <v>4300.7299999999996</v>
      </c>
      <c r="K246" s="19" t="s">
        <v>21</v>
      </c>
      <c r="L246" s="19" t="s">
        <v>41</v>
      </c>
      <c r="M246" s="19">
        <v>165.51</v>
      </c>
      <c r="N246" s="19">
        <v>1003.9</v>
      </c>
      <c r="O246" s="19" t="s">
        <v>42</v>
      </c>
      <c r="P246" s="21">
        <v>21.82</v>
      </c>
    </row>
    <row r="247" spans="1:16" x14ac:dyDescent="0.3">
      <c r="A247" s="17" t="s">
        <v>312</v>
      </c>
      <c r="B247" s="18">
        <v>42788</v>
      </c>
      <c r="C247" s="19">
        <v>2016</v>
      </c>
      <c r="D247" s="20" t="s">
        <v>103</v>
      </c>
      <c r="E247" s="19" t="s">
        <v>104</v>
      </c>
      <c r="F247" s="19" t="s">
        <v>38</v>
      </c>
      <c r="G247" s="19" t="s">
        <v>39</v>
      </c>
      <c r="H247" s="19">
        <v>63.4</v>
      </c>
      <c r="I247" s="19">
        <v>308.64</v>
      </c>
      <c r="J247" s="19">
        <v>4868.1099999999997</v>
      </c>
      <c r="K247" s="19" t="s">
        <v>34</v>
      </c>
      <c r="L247" s="19" t="s">
        <v>41</v>
      </c>
      <c r="M247" s="19">
        <v>279.36</v>
      </c>
      <c r="N247" s="19">
        <v>274.99</v>
      </c>
      <c r="O247" s="19" t="s">
        <v>23</v>
      </c>
      <c r="P247" s="21">
        <v>22.97</v>
      </c>
    </row>
    <row r="248" spans="1:16" x14ac:dyDescent="0.3">
      <c r="A248" s="17" t="s">
        <v>313</v>
      </c>
      <c r="B248" s="18">
        <v>40804</v>
      </c>
      <c r="C248" s="19">
        <v>2011</v>
      </c>
      <c r="D248" s="20" t="s">
        <v>25</v>
      </c>
      <c r="E248" s="19" t="s">
        <v>87</v>
      </c>
      <c r="F248" s="19" t="s">
        <v>33</v>
      </c>
      <c r="G248" s="19" t="s">
        <v>46</v>
      </c>
      <c r="H248" s="19">
        <v>6.01</v>
      </c>
      <c r="I248" s="19">
        <v>39.33</v>
      </c>
      <c r="J248" s="19">
        <v>6544.79</v>
      </c>
      <c r="K248" s="19" t="s">
        <v>28</v>
      </c>
      <c r="L248" s="19" t="s">
        <v>41</v>
      </c>
      <c r="M248" s="19">
        <v>255.42</v>
      </c>
      <c r="N248" s="19">
        <v>595</v>
      </c>
      <c r="O248" s="19" t="s">
        <v>23</v>
      </c>
      <c r="P248" s="21">
        <v>25.74</v>
      </c>
    </row>
    <row r="249" spans="1:16" x14ac:dyDescent="0.3">
      <c r="A249" s="17" t="s">
        <v>314</v>
      </c>
      <c r="B249" s="18">
        <v>41236</v>
      </c>
      <c r="C249" s="19">
        <v>2012</v>
      </c>
      <c r="D249" s="20" t="s">
        <v>31</v>
      </c>
      <c r="E249" s="19" t="s">
        <v>82</v>
      </c>
      <c r="F249" s="19" t="s">
        <v>38</v>
      </c>
      <c r="G249" s="19" t="s">
        <v>20</v>
      </c>
      <c r="H249" s="19">
        <v>45.16</v>
      </c>
      <c r="I249" s="19">
        <v>85.43</v>
      </c>
      <c r="J249" s="19">
        <v>1891.79</v>
      </c>
      <c r="K249" s="19" t="s">
        <v>40</v>
      </c>
      <c r="L249" s="19" t="s">
        <v>49</v>
      </c>
      <c r="M249" s="19">
        <v>211.82</v>
      </c>
      <c r="N249" s="19">
        <v>698.89</v>
      </c>
      <c r="O249" s="19" t="s">
        <v>61</v>
      </c>
      <c r="P249" s="21">
        <v>27.19</v>
      </c>
    </row>
    <row r="250" spans="1:16" x14ac:dyDescent="0.3">
      <c r="A250" s="17" t="s">
        <v>315</v>
      </c>
      <c r="B250" s="18">
        <v>42646</v>
      </c>
      <c r="C250" s="19">
        <v>2016</v>
      </c>
      <c r="D250" s="20" t="s">
        <v>36</v>
      </c>
      <c r="E250" s="19" t="s">
        <v>37</v>
      </c>
      <c r="F250" s="19" t="s">
        <v>33</v>
      </c>
      <c r="G250" s="19" t="s">
        <v>39</v>
      </c>
      <c r="H250" s="19">
        <v>88.58</v>
      </c>
      <c r="I250" s="19">
        <v>368.04</v>
      </c>
      <c r="J250" s="19">
        <v>4154.88</v>
      </c>
      <c r="K250" s="19" t="s">
        <v>21</v>
      </c>
      <c r="L250" s="19" t="s">
        <v>49</v>
      </c>
      <c r="M250" s="19">
        <v>297.35000000000002</v>
      </c>
      <c r="N250" s="19">
        <v>981.92</v>
      </c>
      <c r="O250" s="19" t="s">
        <v>70</v>
      </c>
      <c r="P250" s="21">
        <v>27.2</v>
      </c>
    </row>
    <row r="251" spans="1:16" x14ac:dyDescent="0.3">
      <c r="A251" s="17" t="s">
        <v>316</v>
      </c>
      <c r="B251" s="18">
        <v>42429</v>
      </c>
      <c r="C251" s="19">
        <v>2015</v>
      </c>
      <c r="D251" s="20" t="s">
        <v>59</v>
      </c>
      <c r="E251" s="19" t="s">
        <v>93</v>
      </c>
      <c r="F251" s="19" t="s">
        <v>38</v>
      </c>
      <c r="G251" s="19" t="s">
        <v>20</v>
      </c>
      <c r="H251" s="19">
        <v>18.8</v>
      </c>
      <c r="I251" s="19">
        <v>54.77</v>
      </c>
      <c r="J251" s="19">
        <v>2913.27</v>
      </c>
      <c r="K251" s="19" t="s">
        <v>40</v>
      </c>
      <c r="L251" s="19" t="s">
        <v>47</v>
      </c>
      <c r="M251" s="19">
        <v>57.33</v>
      </c>
      <c r="N251" s="19">
        <v>1010.69</v>
      </c>
      <c r="O251" s="19" t="s">
        <v>70</v>
      </c>
      <c r="P251" s="21">
        <v>20.88</v>
      </c>
    </row>
    <row r="252" spans="1:16" x14ac:dyDescent="0.3">
      <c r="A252" s="17" t="s">
        <v>317</v>
      </c>
      <c r="B252" s="18">
        <v>41525</v>
      </c>
      <c r="C252" s="19">
        <v>2013</v>
      </c>
      <c r="D252" s="20" t="s">
        <v>31</v>
      </c>
      <c r="E252" s="19" t="s">
        <v>117</v>
      </c>
      <c r="F252" s="19" t="s">
        <v>33</v>
      </c>
      <c r="G252" s="19" t="s">
        <v>64</v>
      </c>
      <c r="H252" s="19">
        <v>25.54</v>
      </c>
      <c r="I252" s="19">
        <v>62.49</v>
      </c>
      <c r="J252" s="19">
        <v>2446.92</v>
      </c>
      <c r="K252" s="19" t="s">
        <v>21</v>
      </c>
      <c r="L252" s="19" t="s">
        <v>49</v>
      </c>
      <c r="M252" s="19">
        <v>241.01</v>
      </c>
      <c r="N252" s="19">
        <v>1147.8</v>
      </c>
      <c r="O252" s="19" t="s">
        <v>61</v>
      </c>
      <c r="P252" s="21">
        <v>32.700000000000003</v>
      </c>
    </row>
    <row r="253" spans="1:16" x14ac:dyDescent="0.3">
      <c r="A253" s="17" t="s">
        <v>318</v>
      </c>
      <c r="B253" s="18">
        <v>41205</v>
      </c>
      <c r="C253" s="19">
        <v>2012</v>
      </c>
      <c r="D253" s="20" t="s">
        <v>44</v>
      </c>
      <c r="E253" s="19" t="s">
        <v>45</v>
      </c>
      <c r="F253" s="19" t="s">
        <v>33</v>
      </c>
      <c r="G253" s="19" t="s">
        <v>27</v>
      </c>
      <c r="H253" s="19">
        <v>32.479999999999997</v>
      </c>
      <c r="I253" s="19">
        <v>176.32</v>
      </c>
      <c r="J253" s="19">
        <v>5428.63</v>
      </c>
      <c r="K253" s="19" t="s">
        <v>34</v>
      </c>
      <c r="L253" s="19" t="s">
        <v>41</v>
      </c>
      <c r="M253" s="19">
        <v>278.5</v>
      </c>
      <c r="N253" s="19">
        <v>228.21</v>
      </c>
      <c r="O253" s="19" t="s">
        <v>70</v>
      </c>
      <c r="P253" s="21">
        <v>34.21</v>
      </c>
    </row>
    <row r="254" spans="1:16" x14ac:dyDescent="0.3">
      <c r="A254" s="17" t="s">
        <v>319</v>
      </c>
      <c r="B254" s="18">
        <v>44866</v>
      </c>
      <c r="C254" s="19">
        <v>2022</v>
      </c>
      <c r="D254" s="20" t="s">
        <v>59</v>
      </c>
      <c r="E254" s="19" t="s">
        <v>60</v>
      </c>
      <c r="F254" s="19" t="s">
        <v>38</v>
      </c>
      <c r="G254" s="19" t="s">
        <v>27</v>
      </c>
      <c r="H254" s="19">
        <v>31.6</v>
      </c>
      <c r="I254" s="19">
        <v>124.59</v>
      </c>
      <c r="J254" s="19">
        <v>3942.62</v>
      </c>
      <c r="K254" s="19" t="s">
        <v>21</v>
      </c>
      <c r="L254" s="19" t="s">
        <v>49</v>
      </c>
      <c r="M254" s="19">
        <v>64.040000000000006</v>
      </c>
      <c r="N254" s="19">
        <v>801.66</v>
      </c>
      <c r="O254" s="19" t="s">
        <v>23</v>
      </c>
      <c r="P254" s="21">
        <v>27.9</v>
      </c>
    </row>
    <row r="255" spans="1:16" x14ac:dyDescent="0.3">
      <c r="A255" s="17" t="s">
        <v>320</v>
      </c>
      <c r="B255" s="18">
        <v>44847</v>
      </c>
      <c r="C255" s="19">
        <v>2022</v>
      </c>
      <c r="D255" s="20" t="s">
        <v>59</v>
      </c>
      <c r="E255" s="19" t="s">
        <v>60</v>
      </c>
      <c r="F255" s="19" t="s">
        <v>33</v>
      </c>
      <c r="G255" s="19" t="s">
        <v>20</v>
      </c>
      <c r="H255" s="19">
        <v>71.98</v>
      </c>
      <c r="I255" s="19">
        <v>468.78</v>
      </c>
      <c r="J255" s="19">
        <v>6512.68</v>
      </c>
      <c r="K255" s="19" t="s">
        <v>34</v>
      </c>
      <c r="L255" s="19" t="s">
        <v>49</v>
      </c>
      <c r="M255" s="19">
        <v>64.89</v>
      </c>
      <c r="N255" s="19">
        <v>347.71</v>
      </c>
      <c r="O255" s="19" t="s">
        <v>42</v>
      </c>
      <c r="P255" s="21">
        <v>31.62</v>
      </c>
    </row>
    <row r="256" spans="1:16" x14ac:dyDescent="0.3">
      <c r="A256" s="17" t="s">
        <v>321</v>
      </c>
      <c r="B256" s="18">
        <v>44318</v>
      </c>
      <c r="C256" s="19">
        <v>2021</v>
      </c>
      <c r="D256" s="20" t="s">
        <v>25</v>
      </c>
      <c r="E256" s="19" t="s">
        <v>87</v>
      </c>
      <c r="F256" s="19" t="s">
        <v>19</v>
      </c>
      <c r="G256" s="19" t="s">
        <v>46</v>
      </c>
      <c r="H256" s="19">
        <v>59.02</v>
      </c>
      <c r="I256" s="19">
        <v>178.2</v>
      </c>
      <c r="J256" s="19">
        <v>3019.37</v>
      </c>
      <c r="K256" s="19" t="s">
        <v>34</v>
      </c>
      <c r="L256" s="19" t="s">
        <v>49</v>
      </c>
      <c r="M256" s="19">
        <v>84.11</v>
      </c>
      <c r="N256" s="19">
        <v>357.5</v>
      </c>
      <c r="O256" s="19" t="s">
        <v>52</v>
      </c>
      <c r="P256" s="21">
        <v>31.88</v>
      </c>
    </row>
    <row r="257" spans="1:16" x14ac:dyDescent="0.3">
      <c r="A257" s="17" t="s">
        <v>322</v>
      </c>
      <c r="B257" s="18">
        <v>43237</v>
      </c>
      <c r="C257" s="19">
        <v>2018</v>
      </c>
      <c r="D257" s="20" t="s">
        <v>103</v>
      </c>
      <c r="E257" s="19" t="s">
        <v>228</v>
      </c>
      <c r="F257" s="19" t="s">
        <v>19</v>
      </c>
      <c r="G257" s="19" t="s">
        <v>27</v>
      </c>
      <c r="H257" s="19">
        <v>78.91</v>
      </c>
      <c r="I257" s="19">
        <v>184.6</v>
      </c>
      <c r="J257" s="19">
        <v>2339.42</v>
      </c>
      <c r="K257" s="19" t="s">
        <v>40</v>
      </c>
      <c r="L257" s="19" t="s">
        <v>22</v>
      </c>
      <c r="M257" s="19">
        <v>144.6</v>
      </c>
      <c r="N257" s="19">
        <v>933.99</v>
      </c>
      <c r="O257" s="19" t="s">
        <v>70</v>
      </c>
      <c r="P257" s="21">
        <v>21.91</v>
      </c>
    </row>
    <row r="258" spans="1:16" x14ac:dyDescent="0.3">
      <c r="A258" s="17" t="s">
        <v>323</v>
      </c>
      <c r="B258" s="18">
        <v>42508</v>
      </c>
      <c r="C258" s="19">
        <v>2016</v>
      </c>
      <c r="D258" s="20" t="s">
        <v>17</v>
      </c>
      <c r="E258" s="19" t="s">
        <v>54</v>
      </c>
      <c r="F258" s="19" t="s">
        <v>19</v>
      </c>
      <c r="G258" s="19" t="s">
        <v>64</v>
      </c>
      <c r="H258" s="19">
        <v>19.03</v>
      </c>
      <c r="I258" s="19">
        <v>55.36</v>
      </c>
      <c r="J258" s="19">
        <v>2909.3</v>
      </c>
      <c r="K258" s="19" t="s">
        <v>40</v>
      </c>
      <c r="L258" s="19" t="s">
        <v>22</v>
      </c>
      <c r="M258" s="19">
        <v>209.91</v>
      </c>
      <c r="N258" s="19">
        <v>304.11</v>
      </c>
      <c r="O258" s="19" t="s">
        <v>52</v>
      </c>
      <c r="P258" s="21">
        <v>22.11</v>
      </c>
    </row>
    <row r="259" spans="1:16" x14ac:dyDescent="0.3">
      <c r="A259" s="17" t="s">
        <v>324</v>
      </c>
      <c r="B259" s="18">
        <v>42245</v>
      </c>
      <c r="C259" s="19">
        <v>2015</v>
      </c>
      <c r="D259" s="20" t="s">
        <v>103</v>
      </c>
      <c r="E259" s="19" t="s">
        <v>107</v>
      </c>
      <c r="F259" s="19" t="s">
        <v>33</v>
      </c>
      <c r="G259" s="19" t="s">
        <v>39</v>
      </c>
      <c r="H259" s="19">
        <v>88.65</v>
      </c>
      <c r="I259" s="19">
        <v>135.84</v>
      </c>
      <c r="J259" s="19">
        <v>1532.36</v>
      </c>
      <c r="K259" s="19" t="s">
        <v>34</v>
      </c>
      <c r="L259" s="19" t="s">
        <v>49</v>
      </c>
      <c r="M259" s="19">
        <v>161.66</v>
      </c>
      <c r="N259" s="19">
        <v>465.21</v>
      </c>
      <c r="O259" s="19" t="s">
        <v>42</v>
      </c>
      <c r="P259" s="21">
        <v>30.4</v>
      </c>
    </row>
    <row r="260" spans="1:16" x14ac:dyDescent="0.3">
      <c r="A260" s="17" t="s">
        <v>325</v>
      </c>
      <c r="B260" s="18">
        <v>44444</v>
      </c>
      <c r="C260" s="19">
        <v>2021</v>
      </c>
      <c r="D260" s="20" t="s">
        <v>44</v>
      </c>
      <c r="E260" s="19" t="s">
        <v>45</v>
      </c>
      <c r="F260" s="19" t="s">
        <v>33</v>
      </c>
      <c r="G260" s="19" t="s">
        <v>64</v>
      </c>
      <c r="H260" s="19">
        <v>39.21</v>
      </c>
      <c r="I260" s="19">
        <v>211.56</v>
      </c>
      <c r="J260" s="19">
        <v>5395.51</v>
      </c>
      <c r="K260" s="19" t="s">
        <v>40</v>
      </c>
      <c r="L260" s="19" t="s">
        <v>22</v>
      </c>
      <c r="M260" s="19">
        <v>271.14</v>
      </c>
      <c r="N260" s="19">
        <v>693.08</v>
      </c>
      <c r="O260" s="19" t="s">
        <v>52</v>
      </c>
      <c r="P260" s="21">
        <v>25.27</v>
      </c>
    </row>
    <row r="261" spans="1:16" x14ac:dyDescent="0.3">
      <c r="A261" s="17" t="s">
        <v>326</v>
      </c>
      <c r="B261" s="18">
        <v>44668</v>
      </c>
      <c r="C261" s="19">
        <v>2022</v>
      </c>
      <c r="D261" s="20" t="s">
        <v>44</v>
      </c>
      <c r="E261" s="19" t="s">
        <v>99</v>
      </c>
      <c r="F261" s="19" t="s">
        <v>19</v>
      </c>
      <c r="G261" s="19" t="s">
        <v>39</v>
      </c>
      <c r="H261" s="19">
        <v>76.069999999999993</v>
      </c>
      <c r="I261" s="19">
        <v>179.03</v>
      </c>
      <c r="J261" s="19">
        <v>2353.5</v>
      </c>
      <c r="K261" s="19" t="s">
        <v>28</v>
      </c>
      <c r="L261" s="19" t="s">
        <v>22</v>
      </c>
      <c r="M261" s="19">
        <v>68.430000000000007</v>
      </c>
      <c r="N261" s="19">
        <v>1045.76</v>
      </c>
      <c r="O261" s="19" t="s">
        <v>70</v>
      </c>
      <c r="P261" s="21">
        <v>20.3</v>
      </c>
    </row>
    <row r="262" spans="1:16" x14ac:dyDescent="0.3">
      <c r="A262" s="17" t="s">
        <v>327</v>
      </c>
      <c r="B262" s="18">
        <v>41324</v>
      </c>
      <c r="C262" s="19">
        <v>2012</v>
      </c>
      <c r="D262" s="20" t="s">
        <v>25</v>
      </c>
      <c r="E262" s="19" t="s">
        <v>87</v>
      </c>
      <c r="F262" s="19" t="s">
        <v>38</v>
      </c>
      <c r="G262" s="19" t="s">
        <v>56</v>
      </c>
      <c r="H262" s="19">
        <v>73.47</v>
      </c>
      <c r="I262" s="19">
        <v>314.62</v>
      </c>
      <c r="J262" s="19">
        <v>4282.28</v>
      </c>
      <c r="K262" s="19" t="s">
        <v>21</v>
      </c>
      <c r="L262" s="19" t="s">
        <v>41</v>
      </c>
      <c r="M262" s="19">
        <v>134.49</v>
      </c>
      <c r="N262" s="19">
        <v>1185.28</v>
      </c>
      <c r="O262" s="19" t="s">
        <v>52</v>
      </c>
      <c r="P262" s="21">
        <v>30.57</v>
      </c>
    </row>
    <row r="263" spans="1:16" x14ac:dyDescent="0.3">
      <c r="A263" s="17" t="s">
        <v>328</v>
      </c>
      <c r="B263" s="18">
        <v>41133</v>
      </c>
      <c r="C263" s="19">
        <v>2012</v>
      </c>
      <c r="D263" s="20" t="s">
        <v>59</v>
      </c>
      <c r="E263" s="19" t="s">
        <v>63</v>
      </c>
      <c r="F263" s="19" t="s">
        <v>33</v>
      </c>
      <c r="G263" s="19" t="s">
        <v>64</v>
      </c>
      <c r="H263" s="19">
        <v>33.78</v>
      </c>
      <c r="I263" s="19">
        <v>231.27</v>
      </c>
      <c r="J263" s="19">
        <v>6846.39</v>
      </c>
      <c r="K263" s="19" t="s">
        <v>28</v>
      </c>
      <c r="L263" s="19" t="s">
        <v>49</v>
      </c>
      <c r="M263" s="19">
        <v>224.3</v>
      </c>
      <c r="N263" s="19">
        <v>922.04</v>
      </c>
      <c r="O263" s="19" t="s">
        <v>61</v>
      </c>
      <c r="P263" s="21">
        <v>23.98</v>
      </c>
    </row>
    <row r="264" spans="1:16" x14ac:dyDescent="0.3">
      <c r="A264" s="17" t="s">
        <v>329</v>
      </c>
      <c r="B264" s="18">
        <v>40605</v>
      </c>
      <c r="C264" s="19">
        <v>2010</v>
      </c>
      <c r="D264" s="20" t="s">
        <v>103</v>
      </c>
      <c r="E264" s="19" t="s">
        <v>104</v>
      </c>
      <c r="F264" s="19" t="s">
        <v>38</v>
      </c>
      <c r="G264" s="19" t="s">
        <v>27</v>
      </c>
      <c r="H264" s="19">
        <v>55.42</v>
      </c>
      <c r="I264" s="19">
        <v>218.67</v>
      </c>
      <c r="J264" s="19">
        <v>3945.69</v>
      </c>
      <c r="K264" s="19" t="s">
        <v>21</v>
      </c>
      <c r="L264" s="19" t="s">
        <v>41</v>
      </c>
      <c r="M264" s="19">
        <v>140.21</v>
      </c>
      <c r="N264" s="19">
        <v>627.61</v>
      </c>
      <c r="O264" s="19" t="s">
        <v>70</v>
      </c>
      <c r="P264" s="21">
        <v>32.36</v>
      </c>
    </row>
    <row r="265" spans="1:16" x14ac:dyDescent="0.3">
      <c r="A265" s="17" t="s">
        <v>330</v>
      </c>
      <c r="B265" s="18">
        <v>41493</v>
      </c>
      <c r="C265" s="19">
        <v>2013</v>
      </c>
      <c r="D265" s="20" t="s">
        <v>25</v>
      </c>
      <c r="E265" s="19" t="s">
        <v>26</v>
      </c>
      <c r="F265" s="19" t="s">
        <v>33</v>
      </c>
      <c r="G265" s="19" t="s">
        <v>39</v>
      </c>
      <c r="H265" s="19">
        <v>29.89</v>
      </c>
      <c r="I265" s="19">
        <v>44.58</v>
      </c>
      <c r="J265" s="19">
        <v>1491.62</v>
      </c>
      <c r="K265" s="19" t="s">
        <v>21</v>
      </c>
      <c r="L265" s="19" t="s">
        <v>22</v>
      </c>
      <c r="M265" s="19">
        <v>127.09</v>
      </c>
      <c r="N265" s="19">
        <v>597.47</v>
      </c>
      <c r="O265" s="19" t="s">
        <v>52</v>
      </c>
      <c r="P265" s="21">
        <v>33.42</v>
      </c>
    </row>
    <row r="266" spans="1:16" x14ac:dyDescent="0.3">
      <c r="A266" s="17" t="s">
        <v>331</v>
      </c>
      <c r="B266" s="18">
        <v>42590</v>
      </c>
      <c r="C266" s="19">
        <v>2016</v>
      </c>
      <c r="D266" s="20" t="s">
        <v>17</v>
      </c>
      <c r="E266" s="19" t="s">
        <v>54</v>
      </c>
      <c r="F266" s="19" t="s">
        <v>33</v>
      </c>
      <c r="G266" s="19" t="s">
        <v>20</v>
      </c>
      <c r="H266" s="19">
        <v>88.66</v>
      </c>
      <c r="I266" s="19">
        <v>285.17</v>
      </c>
      <c r="J266" s="19">
        <v>3216.41</v>
      </c>
      <c r="K266" s="19" t="s">
        <v>28</v>
      </c>
      <c r="L266" s="19" t="s">
        <v>47</v>
      </c>
      <c r="M266" s="19">
        <v>61.15</v>
      </c>
      <c r="N266" s="19">
        <v>639.74</v>
      </c>
      <c r="O266" s="19" t="s">
        <v>70</v>
      </c>
      <c r="P266" s="21">
        <v>23.39</v>
      </c>
    </row>
    <row r="267" spans="1:16" x14ac:dyDescent="0.3">
      <c r="A267" s="17" t="s">
        <v>332</v>
      </c>
      <c r="B267" s="18">
        <v>44676</v>
      </c>
      <c r="C267" s="19">
        <v>2022</v>
      </c>
      <c r="D267" s="20" t="s">
        <v>25</v>
      </c>
      <c r="E267" s="19" t="s">
        <v>26</v>
      </c>
      <c r="F267" s="19" t="s">
        <v>19</v>
      </c>
      <c r="G267" s="19" t="s">
        <v>39</v>
      </c>
      <c r="H267" s="19">
        <v>10.57</v>
      </c>
      <c r="I267" s="19">
        <v>52.94</v>
      </c>
      <c r="J267" s="19">
        <v>5008.8500000000004</v>
      </c>
      <c r="K267" s="19" t="s">
        <v>28</v>
      </c>
      <c r="L267" s="19" t="s">
        <v>47</v>
      </c>
      <c r="M267" s="19">
        <v>292.68</v>
      </c>
      <c r="N267" s="19">
        <v>789.73</v>
      </c>
      <c r="O267" s="19" t="s">
        <v>61</v>
      </c>
      <c r="P267" s="21">
        <v>20.91</v>
      </c>
    </row>
    <row r="268" spans="1:16" x14ac:dyDescent="0.3">
      <c r="A268" s="17" t="s">
        <v>333</v>
      </c>
      <c r="B268" s="18">
        <v>44268</v>
      </c>
      <c r="C268" s="19">
        <v>2020</v>
      </c>
      <c r="D268" s="20" t="s">
        <v>36</v>
      </c>
      <c r="E268" s="19" t="s">
        <v>77</v>
      </c>
      <c r="F268" s="19" t="s">
        <v>38</v>
      </c>
      <c r="G268" s="19" t="s">
        <v>27</v>
      </c>
      <c r="H268" s="19">
        <v>88.28</v>
      </c>
      <c r="I268" s="19">
        <v>340.55</v>
      </c>
      <c r="J268" s="19">
        <v>3857.57</v>
      </c>
      <c r="K268" s="19" t="s">
        <v>21</v>
      </c>
      <c r="L268" s="19" t="s">
        <v>47</v>
      </c>
      <c r="M268" s="19">
        <v>148.69999999999999</v>
      </c>
      <c r="N268" s="19">
        <v>1053.94</v>
      </c>
      <c r="O268" s="19" t="s">
        <v>23</v>
      </c>
      <c r="P268" s="21">
        <v>27.53</v>
      </c>
    </row>
    <row r="269" spans="1:16" x14ac:dyDescent="0.3">
      <c r="A269" s="17" t="s">
        <v>334</v>
      </c>
      <c r="B269" s="18">
        <v>41172</v>
      </c>
      <c r="C269" s="19">
        <v>2012</v>
      </c>
      <c r="D269" s="20" t="s">
        <v>17</v>
      </c>
      <c r="E269" s="19" t="s">
        <v>54</v>
      </c>
      <c r="F269" s="19" t="s">
        <v>33</v>
      </c>
      <c r="G269" s="19" t="s">
        <v>46</v>
      </c>
      <c r="H269" s="19">
        <v>18.12</v>
      </c>
      <c r="I269" s="19">
        <v>125.14</v>
      </c>
      <c r="J269" s="19">
        <v>6906.21</v>
      </c>
      <c r="K269" s="19" t="s">
        <v>40</v>
      </c>
      <c r="L269" s="19" t="s">
        <v>41</v>
      </c>
      <c r="M269" s="19">
        <v>252.12</v>
      </c>
      <c r="N269" s="19">
        <v>326.19</v>
      </c>
      <c r="O269" s="19" t="s">
        <v>52</v>
      </c>
      <c r="P269" s="21">
        <v>21.18</v>
      </c>
    </row>
    <row r="270" spans="1:16" x14ac:dyDescent="0.3">
      <c r="A270" s="17" t="s">
        <v>335</v>
      </c>
      <c r="B270" s="18">
        <v>41017</v>
      </c>
      <c r="C270" s="19">
        <v>2012</v>
      </c>
      <c r="D270" s="20" t="s">
        <v>44</v>
      </c>
      <c r="E270" s="19" t="s">
        <v>67</v>
      </c>
      <c r="F270" s="19" t="s">
        <v>19</v>
      </c>
      <c r="G270" s="19" t="s">
        <v>20</v>
      </c>
      <c r="H270" s="19">
        <v>32.659999999999997</v>
      </c>
      <c r="I270" s="19">
        <v>175.14</v>
      </c>
      <c r="J270" s="19">
        <v>5362.62</v>
      </c>
      <c r="K270" s="19" t="s">
        <v>21</v>
      </c>
      <c r="L270" s="19" t="s">
        <v>47</v>
      </c>
      <c r="M270" s="19">
        <v>71.760000000000005</v>
      </c>
      <c r="N270" s="19">
        <v>756.36</v>
      </c>
      <c r="O270" s="19" t="s">
        <v>61</v>
      </c>
      <c r="P270" s="21">
        <v>24.89</v>
      </c>
    </row>
    <row r="271" spans="1:16" x14ac:dyDescent="0.3">
      <c r="A271" s="17" t="s">
        <v>336</v>
      </c>
      <c r="B271" s="18">
        <v>44712</v>
      </c>
      <c r="C271" s="19">
        <v>2022</v>
      </c>
      <c r="D271" s="20" t="s">
        <v>36</v>
      </c>
      <c r="E271" s="19" t="s">
        <v>37</v>
      </c>
      <c r="F271" s="19" t="s">
        <v>19</v>
      </c>
      <c r="G271" s="19" t="s">
        <v>27</v>
      </c>
      <c r="H271" s="19">
        <v>59.17</v>
      </c>
      <c r="I271" s="19">
        <v>336.68</v>
      </c>
      <c r="J271" s="19">
        <v>5690.11</v>
      </c>
      <c r="K271" s="19" t="s">
        <v>21</v>
      </c>
      <c r="L271" s="19" t="s">
        <v>22</v>
      </c>
      <c r="M271" s="19">
        <v>153.61000000000001</v>
      </c>
      <c r="N271" s="19">
        <v>348.2</v>
      </c>
      <c r="O271" s="19" t="s">
        <v>61</v>
      </c>
      <c r="P271" s="21">
        <v>28.74</v>
      </c>
    </row>
    <row r="272" spans="1:16" x14ac:dyDescent="0.3">
      <c r="A272" s="17" t="s">
        <v>337</v>
      </c>
      <c r="B272" s="18">
        <v>44722</v>
      </c>
      <c r="C272" s="19">
        <v>2022</v>
      </c>
      <c r="D272" s="20" t="s">
        <v>25</v>
      </c>
      <c r="E272" s="19" t="s">
        <v>69</v>
      </c>
      <c r="F272" s="19" t="s">
        <v>33</v>
      </c>
      <c r="G272" s="19" t="s">
        <v>20</v>
      </c>
      <c r="H272" s="19">
        <v>86.88</v>
      </c>
      <c r="I272" s="19">
        <v>545.67999999999995</v>
      </c>
      <c r="J272" s="19">
        <v>6280.81</v>
      </c>
      <c r="K272" s="19" t="s">
        <v>28</v>
      </c>
      <c r="L272" s="19" t="s">
        <v>41</v>
      </c>
      <c r="M272" s="19">
        <v>116.03</v>
      </c>
      <c r="N272" s="19">
        <v>854.79</v>
      </c>
      <c r="O272" s="19" t="s">
        <v>61</v>
      </c>
      <c r="P272" s="21">
        <v>29.13</v>
      </c>
    </row>
    <row r="273" spans="1:16" x14ac:dyDescent="0.3">
      <c r="A273" s="17" t="s">
        <v>338</v>
      </c>
      <c r="B273" s="18">
        <v>41030</v>
      </c>
      <c r="C273" s="19">
        <v>2012</v>
      </c>
      <c r="D273" s="20" t="s">
        <v>31</v>
      </c>
      <c r="E273" s="19" t="s">
        <v>32</v>
      </c>
      <c r="F273" s="19" t="s">
        <v>19</v>
      </c>
      <c r="G273" s="19" t="s">
        <v>27</v>
      </c>
      <c r="H273" s="19">
        <v>68.400000000000006</v>
      </c>
      <c r="I273" s="19">
        <v>233.27</v>
      </c>
      <c r="J273" s="19">
        <v>3410.32</v>
      </c>
      <c r="K273" s="19" t="s">
        <v>28</v>
      </c>
      <c r="L273" s="19" t="s">
        <v>49</v>
      </c>
      <c r="M273" s="19">
        <v>272.39</v>
      </c>
      <c r="N273" s="19">
        <v>531.49</v>
      </c>
      <c r="O273" s="19" t="s">
        <v>42</v>
      </c>
      <c r="P273" s="21">
        <v>20.74</v>
      </c>
    </row>
    <row r="274" spans="1:16" x14ac:dyDescent="0.3">
      <c r="A274" s="17" t="s">
        <v>339</v>
      </c>
      <c r="B274" s="18">
        <v>42422</v>
      </c>
      <c r="C274" s="19">
        <v>2015</v>
      </c>
      <c r="D274" s="20" t="s">
        <v>31</v>
      </c>
      <c r="E274" s="19" t="s">
        <v>82</v>
      </c>
      <c r="F274" s="19" t="s">
        <v>38</v>
      </c>
      <c r="G274" s="19" t="s">
        <v>20</v>
      </c>
      <c r="H274" s="19">
        <v>28.75</v>
      </c>
      <c r="I274" s="19">
        <v>113.55</v>
      </c>
      <c r="J274" s="19">
        <v>3949.72</v>
      </c>
      <c r="K274" s="19" t="s">
        <v>21</v>
      </c>
      <c r="L274" s="19" t="s">
        <v>49</v>
      </c>
      <c r="M274" s="19">
        <v>293.12</v>
      </c>
      <c r="N274" s="19">
        <v>427.96</v>
      </c>
      <c r="O274" s="19" t="s">
        <v>70</v>
      </c>
      <c r="P274" s="21">
        <v>34.61</v>
      </c>
    </row>
    <row r="275" spans="1:16" x14ac:dyDescent="0.3">
      <c r="A275" s="17" t="s">
        <v>340</v>
      </c>
      <c r="B275" s="18">
        <v>42493</v>
      </c>
      <c r="C275" s="19">
        <v>2016</v>
      </c>
      <c r="D275" s="20" t="s">
        <v>31</v>
      </c>
      <c r="E275" s="19" t="s">
        <v>117</v>
      </c>
      <c r="F275" s="19" t="s">
        <v>19</v>
      </c>
      <c r="G275" s="19" t="s">
        <v>39</v>
      </c>
      <c r="H275" s="19">
        <v>9.84</v>
      </c>
      <c r="I275" s="19">
        <v>35.92</v>
      </c>
      <c r="J275" s="19">
        <v>3650.3</v>
      </c>
      <c r="K275" s="19" t="s">
        <v>28</v>
      </c>
      <c r="L275" s="19" t="s">
        <v>41</v>
      </c>
      <c r="M275" s="19">
        <v>235.24</v>
      </c>
      <c r="N275" s="19">
        <v>959.49</v>
      </c>
      <c r="O275" s="19" t="s">
        <v>70</v>
      </c>
      <c r="P275" s="21">
        <v>32.32</v>
      </c>
    </row>
    <row r="276" spans="1:16" x14ac:dyDescent="0.3">
      <c r="A276" s="17" t="s">
        <v>341</v>
      </c>
      <c r="B276" s="18">
        <v>44302</v>
      </c>
      <c r="C276" s="19">
        <v>2021</v>
      </c>
      <c r="D276" s="20" t="s">
        <v>25</v>
      </c>
      <c r="E276" s="19" t="s">
        <v>87</v>
      </c>
      <c r="F276" s="19" t="s">
        <v>19</v>
      </c>
      <c r="G276" s="19" t="s">
        <v>46</v>
      </c>
      <c r="H276" s="19">
        <v>14.43</v>
      </c>
      <c r="I276" s="19">
        <v>88.14</v>
      </c>
      <c r="J276" s="19">
        <v>6107.77</v>
      </c>
      <c r="K276" s="19" t="s">
        <v>21</v>
      </c>
      <c r="L276" s="19" t="s">
        <v>22</v>
      </c>
      <c r="M276" s="19">
        <v>93.43</v>
      </c>
      <c r="N276" s="19">
        <v>1075.18</v>
      </c>
      <c r="O276" s="19" t="s">
        <v>42</v>
      </c>
      <c r="P276" s="21">
        <v>32.549999999999997</v>
      </c>
    </row>
    <row r="277" spans="1:16" x14ac:dyDescent="0.3">
      <c r="A277" s="17" t="s">
        <v>342</v>
      </c>
      <c r="B277" s="18">
        <v>42126</v>
      </c>
      <c r="C277" s="19">
        <v>2015</v>
      </c>
      <c r="D277" s="20" t="s">
        <v>36</v>
      </c>
      <c r="E277" s="19" t="s">
        <v>37</v>
      </c>
      <c r="F277" s="19" t="s">
        <v>19</v>
      </c>
      <c r="G277" s="19" t="s">
        <v>56</v>
      </c>
      <c r="H277" s="19">
        <v>28.12</v>
      </c>
      <c r="I277" s="19">
        <v>167.06</v>
      </c>
      <c r="J277" s="19">
        <v>5941.04</v>
      </c>
      <c r="K277" s="19" t="s">
        <v>28</v>
      </c>
      <c r="L277" s="19" t="s">
        <v>47</v>
      </c>
      <c r="M277" s="19">
        <v>208.85</v>
      </c>
      <c r="N277" s="19">
        <v>323.87</v>
      </c>
      <c r="O277" s="19" t="s">
        <v>23</v>
      </c>
      <c r="P277" s="21">
        <v>23.63</v>
      </c>
    </row>
    <row r="278" spans="1:16" x14ac:dyDescent="0.3">
      <c r="A278" s="17" t="s">
        <v>343</v>
      </c>
      <c r="B278" s="18">
        <v>42829</v>
      </c>
      <c r="C278" s="19">
        <v>2017</v>
      </c>
      <c r="D278" s="20" t="s">
        <v>36</v>
      </c>
      <c r="E278" s="19" t="s">
        <v>37</v>
      </c>
      <c r="F278" s="19" t="s">
        <v>19</v>
      </c>
      <c r="G278" s="19" t="s">
        <v>27</v>
      </c>
      <c r="H278" s="19">
        <v>35.630000000000003</v>
      </c>
      <c r="I278" s="19">
        <v>70.59</v>
      </c>
      <c r="J278" s="19">
        <v>1981.08</v>
      </c>
      <c r="K278" s="19" t="s">
        <v>34</v>
      </c>
      <c r="L278" s="19" t="s">
        <v>41</v>
      </c>
      <c r="M278" s="19">
        <v>237.24</v>
      </c>
      <c r="N278" s="19">
        <v>888.85</v>
      </c>
      <c r="O278" s="19" t="s">
        <v>70</v>
      </c>
      <c r="P278" s="21">
        <v>20.41</v>
      </c>
    </row>
    <row r="279" spans="1:16" x14ac:dyDescent="0.3">
      <c r="A279" s="17" t="s">
        <v>344</v>
      </c>
      <c r="B279" s="18">
        <v>44746</v>
      </c>
      <c r="C279" s="19">
        <v>2022</v>
      </c>
      <c r="D279" s="20" t="s">
        <v>44</v>
      </c>
      <c r="E279" s="19" t="s">
        <v>67</v>
      </c>
      <c r="F279" s="19" t="s">
        <v>33</v>
      </c>
      <c r="G279" s="19" t="s">
        <v>56</v>
      </c>
      <c r="H279" s="19">
        <v>65.09</v>
      </c>
      <c r="I279" s="19">
        <v>329.76</v>
      </c>
      <c r="J279" s="19">
        <v>5066.17</v>
      </c>
      <c r="K279" s="19" t="s">
        <v>34</v>
      </c>
      <c r="L279" s="19" t="s">
        <v>41</v>
      </c>
      <c r="M279" s="19">
        <v>212.9</v>
      </c>
      <c r="N279" s="19">
        <v>713.28</v>
      </c>
      <c r="O279" s="19" t="s">
        <v>23</v>
      </c>
      <c r="P279" s="21">
        <v>27.11</v>
      </c>
    </row>
    <row r="280" spans="1:16" x14ac:dyDescent="0.3">
      <c r="A280" s="17" t="s">
        <v>345</v>
      </c>
      <c r="B280" s="18">
        <v>41634</v>
      </c>
      <c r="C280" s="19">
        <v>2013</v>
      </c>
      <c r="D280" s="20" t="s">
        <v>59</v>
      </c>
      <c r="E280" s="19" t="s">
        <v>60</v>
      </c>
      <c r="F280" s="19" t="s">
        <v>38</v>
      </c>
      <c r="G280" s="19" t="s">
        <v>27</v>
      </c>
      <c r="H280" s="19">
        <v>80.7</v>
      </c>
      <c r="I280" s="19">
        <v>228.6</v>
      </c>
      <c r="J280" s="19">
        <v>2832.76</v>
      </c>
      <c r="K280" s="19" t="s">
        <v>34</v>
      </c>
      <c r="L280" s="19" t="s">
        <v>29</v>
      </c>
      <c r="M280" s="19">
        <v>155.94999999999999</v>
      </c>
      <c r="N280" s="19">
        <v>576.48</v>
      </c>
      <c r="O280" s="19" t="s">
        <v>70</v>
      </c>
      <c r="P280" s="21">
        <v>26.88</v>
      </c>
    </row>
    <row r="281" spans="1:16" x14ac:dyDescent="0.3">
      <c r="A281" s="17" t="s">
        <v>346</v>
      </c>
      <c r="B281" s="18">
        <v>43197</v>
      </c>
      <c r="C281" s="19">
        <v>2018</v>
      </c>
      <c r="D281" s="20" t="s">
        <v>31</v>
      </c>
      <c r="E281" s="19" t="s">
        <v>117</v>
      </c>
      <c r="F281" s="19" t="s">
        <v>19</v>
      </c>
      <c r="G281" s="19" t="s">
        <v>46</v>
      </c>
      <c r="H281" s="19">
        <v>58.86</v>
      </c>
      <c r="I281" s="19">
        <v>61.46</v>
      </c>
      <c r="J281" s="19">
        <v>1044.0899999999999</v>
      </c>
      <c r="K281" s="19" t="s">
        <v>34</v>
      </c>
      <c r="L281" s="19" t="s">
        <v>29</v>
      </c>
      <c r="M281" s="19">
        <v>190.36</v>
      </c>
      <c r="N281" s="19">
        <v>793.77</v>
      </c>
      <c r="O281" s="19" t="s">
        <v>70</v>
      </c>
      <c r="P281" s="21">
        <v>24.48</v>
      </c>
    </row>
    <row r="282" spans="1:16" x14ac:dyDescent="0.3">
      <c r="A282" s="17" t="s">
        <v>347</v>
      </c>
      <c r="B282" s="18">
        <v>41781</v>
      </c>
      <c r="C282" s="19">
        <v>2014</v>
      </c>
      <c r="D282" s="20" t="s">
        <v>25</v>
      </c>
      <c r="E282" s="19" t="s">
        <v>87</v>
      </c>
      <c r="F282" s="19" t="s">
        <v>19</v>
      </c>
      <c r="G282" s="19" t="s">
        <v>20</v>
      </c>
      <c r="H282" s="19">
        <v>86.29</v>
      </c>
      <c r="I282" s="19">
        <v>221.5</v>
      </c>
      <c r="J282" s="19">
        <v>2566.88</v>
      </c>
      <c r="K282" s="19" t="s">
        <v>34</v>
      </c>
      <c r="L282" s="19" t="s">
        <v>47</v>
      </c>
      <c r="M282" s="19">
        <v>97.09</v>
      </c>
      <c r="N282" s="19">
        <v>717.29</v>
      </c>
      <c r="O282" s="19" t="s">
        <v>42</v>
      </c>
      <c r="P282" s="21">
        <v>33.5</v>
      </c>
    </row>
    <row r="283" spans="1:16" x14ac:dyDescent="0.3">
      <c r="A283" s="17" t="s">
        <v>348</v>
      </c>
      <c r="B283" s="18">
        <v>42132</v>
      </c>
      <c r="C283" s="19">
        <v>2015</v>
      </c>
      <c r="D283" s="20" t="s">
        <v>36</v>
      </c>
      <c r="E283" s="19" t="s">
        <v>77</v>
      </c>
      <c r="F283" s="19" t="s">
        <v>19</v>
      </c>
      <c r="G283" s="19" t="s">
        <v>56</v>
      </c>
      <c r="H283" s="19">
        <v>72.41</v>
      </c>
      <c r="I283" s="19">
        <v>357.16</v>
      </c>
      <c r="J283" s="19">
        <v>4932.3999999999996</v>
      </c>
      <c r="K283" s="19" t="s">
        <v>34</v>
      </c>
      <c r="L283" s="19" t="s">
        <v>47</v>
      </c>
      <c r="M283" s="19">
        <v>114.86</v>
      </c>
      <c r="N283" s="19">
        <v>618.57000000000005</v>
      </c>
      <c r="O283" s="19" t="s">
        <v>52</v>
      </c>
      <c r="P283" s="21">
        <v>31.05</v>
      </c>
    </row>
    <row r="284" spans="1:16" x14ac:dyDescent="0.3">
      <c r="A284" s="17" t="s">
        <v>349</v>
      </c>
      <c r="B284" s="18">
        <v>42105</v>
      </c>
      <c r="C284" s="19">
        <v>2015</v>
      </c>
      <c r="D284" s="20" t="s">
        <v>44</v>
      </c>
      <c r="E284" s="19" t="s">
        <v>45</v>
      </c>
      <c r="F284" s="19" t="s">
        <v>19</v>
      </c>
      <c r="G284" s="19" t="s">
        <v>39</v>
      </c>
      <c r="H284" s="19">
        <v>23.01</v>
      </c>
      <c r="I284" s="19">
        <v>96.82</v>
      </c>
      <c r="J284" s="19">
        <v>4207.8100000000004</v>
      </c>
      <c r="K284" s="19" t="s">
        <v>28</v>
      </c>
      <c r="L284" s="19" t="s">
        <v>47</v>
      </c>
      <c r="M284" s="19">
        <v>276.63</v>
      </c>
      <c r="N284" s="19">
        <v>871.87</v>
      </c>
      <c r="O284" s="19" t="s">
        <v>61</v>
      </c>
      <c r="P284" s="21">
        <v>24.5</v>
      </c>
    </row>
    <row r="285" spans="1:16" x14ac:dyDescent="0.3">
      <c r="A285" s="17" t="s">
        <v>350</v>
      </c>
      <c r="B285" s="18">
        <v>40905</v>
      </c>
      <c r="C285" s="19">
        <v>2011</v>
      </c>
      <c r="D285" s="20" t="s">
        <v>103</v>
      </c>
      <c r="E285" s="19" t="s">
        <v>107</v>
      </c>
      <c r="F285" s="19" t="s">
        <v>38</v>
      </c>
      <c r="G285" s="19" t="s">
        <v>56</v>
      </c>
      <c r="H285" s="19">
        <v>74.349999999999994</v>
      </c>
      <c r="I285" s="19">
        <v>397.86</v>
      </c>
      <c r="J285" s="19">
        <v>5351.12</v>
      </c>
      <c r="K285" s="19" t="s">
        <v>40</v>
      </c>
      <c r="L285" s="19" t="s">
        <v>49</v>
      </c>
      <c r="M285" s="19">
        <v>286.73</v>
      </c>
      <c r="N285" s="19">
        <v>1099.5899999999999</v>
      </c>
      <c r="O285" s="19" t="s">
        <v>23</v>
      </c>
      <c r="P285" s="21">
        <v>23.33</v>
      </c>
    </row>
    <row r="286" spans="1:16" x14ac:dyDescent="0.3">
      <c r="A286" s="17" t="s">
        <v>351</v>
      </c>
      <c r="B286" s="18">
        <v>42327</v>
      </c>
      <c r="C286" s="19">
        <v>2015</v>
      </c>
      <c r="D286" s="20" t="s">
        <v>36</v>
      </c>
      <c r="E286" s="19" t="s">
        <v>51</v>
      </c>
      <c r="F286" s="19" t="s">
        <v>38</v>
      </c>
      <c r="G286" s="19" t="s">
        <v>27</v>
      </c>
      <c r="H286" s="19">
        <v>30.11</v>
      </c>
      <c r="I286" s="19">
        <v>183.89</v>
      </c>
      <c r="J286" s="19">
        <v>6107.28</v>
      </c>
      <c r="K286" s="19" t="s">
        <v>28</v>
      </c>
      <c r="L286" s="19" t="s">
        <v>29</v>
      </c>
      <c r="M286" s="19">
        <v>63.42</v>
      </c>
      <c r="N286" s="19">
        <v>834.4</v>
      </c>
      <c r="O286" s="19" t="s">
        <v>61</v>
      </c>
      <c r="P286" s="21">
        <v>34.159999999999997</v>
      </c>
    </row>
    <row r="287" spans="1:16" x14ac:dyDescent="0.3">
      <c r="A287" s="17" t="s">
        <v>352</v>
      </c>
      <c r="B287" s="18">
        <v>40691</v>
      </c>
      <c r="C287" s="19">
        <v>2011</v>
      </c>
      <c r="D287" s="20" t="s">
        <v>103</v>
      </c>
      <c r="E287" s="19" t="s">
        <v>228</v>
      </c>
      <c r="F287" s="19" t="s">
        <v>19</v>
      </c>
      <c r="G287" s="19" t="s">
        <v>46</v>
      </c>
      <c r="H287" s="19">
        <v>53.45</v>
      </c>
      <c r="I287" s="19">
        <v>185.93</v>
      </c>
      <c r="J287" s="19">
        <v>3478.64</v>
      </c>
      <c r="K287" s="19" t="s">
        <v>40</v>
      </c>
      <c r="L287" s="19" t="s">
        <v>29</v>
      </c>
      <c r="M287" s="19">
        <v>84.34</v>
      </c>
      <c r="N287" s="19">
        <v>400.3</v>
      </c>
      <c r="O287" s="19" t="s">
        <v>52</v>
      </c>
      <c r="P287" s="21">
        <v>34.81</v>
      </c>
    </row>
    <row r="288" spans="1:16" x14ac:dyDescent="0.3">
      <c r="A288" s="17" t="s">
        <v>353</v>
      </c>
      <c r="B288" s="18">
        <v>44391</v>
      </c>
      <c r="C288" s="19">
        <v>2021</v>
      </c>
      <c r="D288" s="20" t="s">
        <v>103</v>
      </c>
      <c r="E288" s="19" t="s">
        <v>107</v>
      </c>
      <c r="F288" s="19" t="s">
        <v>33</v>
      </c>
      <c r="G288" s="19" t="s">
        <v>64</v>
      </c>
      <c r="H288" s="19">
        <v>49.27</v>
      </c>
      <c r="I288" s="19">
        <v>235.82</v>
      </c>
      <c r="J288" s="19">
        <v>4786.2</v>
      </c>
      <c r="K288" s="19" t="s">
        <v>40</v>
      </c>
      <c r="L288" s="19" t="s">
        <v>47</v>
      </c>
      <c r="M288" s="19">
        <v>128.35</v>
      </c>
      <c r="N288" s="19">
        <v>258.01</v>
      </c>
      <c r="O288" s="19" t="s">
        <v>52</v>
      </c>
      <c r="P288" s="21">
        <v>24.1</v>
      </c>
    </row>
    <row r="289" spans="1:16" x14ac:dyDescent="0.3">
      <c r="A289" s="17" t="s">
        <v>354</v>
      </c>
      <c r="B289" s="18">
        <v>42938</v>
      </c>
      <c r="C289" s="19">
        <v>2017</v>
      </c>
      <c r="D289" s="20" t="s">
        <v>44</v>
      </c>
      <c r="E289" s="19" t="s">
        <v>45</v>
      </c>
      <c r="F289" s="19" t="s">
        <v>33</v>
      </c>
      <c r="G289" s="19" t="s">
        <v>56</v>
      </c>
      <c r="H289" s="19">
        <v>61.83</v>
      </c>
      <c r="I289" s="19">
        <v>296.83999999999997</v>
      </c>
      <c r="J289" s="19">
        <v>4800.93</v>
      </c>
      <c r="K289" s="19" t="s">
        <v>28</v>
      </c>
      <c r="L289" s="19" t="s">
        <v>49</v>
      </c>
      <c r="M289" s="19">
        <v>157.26</v>
      </c>
      <c r="N289" s="19">
        <v>677.4</v>
      </c>
      <c r="O289" s="19" t="s">
        <v>23</v>
      </c>
      <c r="P289" s="21">
        <v>20.57</v>
      </c>
    </row>
    <row r="290" spans="1:16" x14ac:dyDescent="0.3">
      <c r="A290" s="17" t="s">
        <v>355</v>
      </c>
      <c r="B290" s="18">
        <v>44676</v>
      </c>
      <c r="C290" s="19">
        <v>2022</v>
      </c>
      <c r="D290" s="20" t="s">
        <v>25</v>
      </c>
      <c r="E290" s="19" t="s">
        <v>87</v>
      </c>
      <c r="F290" s="19" t="s">
        <v>19</v>
      </c>
      <c r="G290" s="19" t="s">
        <v>56</v>
      </c>
      <c r="H290" s="19">
        <v>2.77</v>
      </c>
      <c r="I290" s="19">
        <v>2.84</v>
      </c>
      <c r="J290" s="19">
        <v>1024.74</v>
      </c>
      <c r="K290" s="19" t="s">
        <v>40</v>
      </c>
      <c r="L290" s="19" t="s">
        <v>47</v>
      </c>
      <c r="M290" s="19">
        <v>106.57</v>
      </c>
      <c r="N290" s="19">
        <v>1076.99</v>
      </c>
      <c r="O290" s="19" t="s">
        <v>70</v>
      </c>
      <c r="P290" s="21">
        <v>21.93</v>
      </c>
    </row>
    <row r="291" spans="1:16" x14ac:dyDescent="0.3">
      <c r="A291" s="17" t="s">
        <v>356</v>
      </c>
      <c r="B291" s="18">
        <v>41186</v>
      </c>
      <c r="C291" s="19">
        <v>2012</v>
      </c>
      <c r="D291" s="20" t="s">
        <v>59</v>
      </c>
      <c r="E291" s="19" t="s">
        <v>63</v>
      </c>
      <c r="F291" s="19" t="s">
        <v>33</v>
      </c>
      <c r="G291" s="19" t="s">
        <v>64</v>
      </c>
      <c r="H291" s="19">
        <v>30.52</v>
      </c>
      <c r="I291" s="19">
        <v>83.78</v>
      </c>
      <c r="J291" s="19">
        <v>2744.97</v>
      </c>
      <c r="K291" s="19" t="s">
        <v>34</v>
      </c>
      <c r="L291" s="19" t="s">
        <v>49</v>
      </c>
      <c r="M291" s="19">
        <v>158.41999999999999</v>
      </c>
      <c r="N291" s="19">
        <v>886.78</v>
      </c>
      <c r="O291" s="19" t="s">
        <v>42</v>
      </c>
      <c r="P291" s="21">
        <v>25.14</v>
      </c>
    </row>
    <row r="292" spans="1:16" x14ac:dyDescent="0.3">
      <c r="A292" s="17" t="s">
        <v>357</v>
      </c>
      <c r="B292" s="18">
        <v>41307</v>
      </c>
      <c r="C292" s="19">
        <v>2012</v>
      </c>
      <c r="D292" s="20" t="s">
        <v>44</v>
      </c>
      <c r="E292" s="19" t="s">
        <v>45</v>
      </c>
      <c r="F292" s="19" t="s">
        <v>38</v>
      </c>
      <c r="G292" s="19" t="s">
        <v>64</v>
      </c>
      <c r="H292" s="19">
        <v>23.61</v>
      </c>
      <c r="I292" s="19">
        <v>126.62</v>
      </c>
      <c r="J292" s="19">
        <v>5363.01</v>
      </c>
      <c r="K292" s="19" t="s">
        <v>40</v>
      </c>
      <c r="L292" s="19" t="s">
        <v>22</v>
      </c>
      <c r="M292" s="19">
        <v>102.8</v>
      </c>
      <c r="N292" s="19">
        <v>221.91</v>
      </c>
      <c r="O292" s="19" t="s">
        <v>61</v>
      </c>
      <c r="P292" s="21">
        <v>22.53</v>
      </c>
    </row>
    <row r="293" spans="1:16" x14ac:dyDescent="0.3">
      <c r="A293" s="17" t="s">
        <v>358</v>
      </c>
      <c r="B293" s="18">
        <v>41754</v>
      </c>
      <c r="C293" s="19">
        <v>2014</v>
      </c>
      <c r="D293" s="20" t="s">
        <v>36</v>
      </c>
      <c r="E293" s="19" t="s">
        <v>77</v>
      </c>
      <c r="F293" s="19" t="s">
        <v>19</v>
      </c>
      <c r="G293" s="19" t="s">
        <v>27</v>
      </c>
      <c r="H293" s="19">
        <v>5.81</v>
      </c>
      <c r="I293" s="19">
        <v>40.479999999999997</v>
      </c>
      <c r="J293" s="19">
        <v>6968.08</v>
      </c>
      <c r="K293" s="19" t="s">
        <v>21</v>
      </c>
      <c r="L293" s="19" t="s">
        <v>22</v>
      </c>
      <c r="M293" s="19">
        <v>213.39</v>
      </c>
      <c r="N293" s="19">
        <v>219.74</v>
      </c>
      <c r="O293" s="19" t="s">
        <v>23</v>
      </c>
      <c r="P293" s="21">
        <v>26.25</v>
      </c>
    </row>
    <row r="294" spans="1:16" x14ac:dyDescent="0.3">
      <c r="A294" s="17" t="s">
        <v>359</v>
      </c>
      <c r="B294" s="18">
        <v>42864</v>
      </c>
      <c r="C294" s="19">
        <v>2017</v>
      </c>
      <c r="D294" s="20" t="s">
        <v>59</v>
      </c>
      <c r="E294" s="19" t="s">
        <v>63</v>
      </c>
      <c r="F294" s="19" t="s">
        <v>19</v>
      </c>
      <c r="G294" s="19" t="s">
        <v>56</v>
      </c>
      <c r="H294" s="19">
        <v>21.34</v>
      </c>
      <c r="I294" s="19">
        <v>109.14</v>
      </c>
      <c r="J294" s="19">
        <v>5114.4399999999996</v>
      </c>
      <c r="K294" s="19" t="s">
        <v>21</v>
      </c>
      <c r="L294" s="19" t="s">
        <v>41</v>
      </c>
      <c r="M294" s="19">
        <v>125.28</v>
      </c>
      <c r="N294" s="19">
        <v>861.66</v>
      </c>
      <c r="O294" s="19" t="s">
        <v>61</v>
      </c>
      <c r="P294" s="21">
        <v>24.05</v>
      </c>
    </row>
    <row r="295" spans="1:16" x14ac:dyDescent="0.3">
      <c r="A295" s="17" t="s">
        <v>360</v>
      </c>
      <c r="B295" s="18">
        <v>43203</v>
      </c>
      <c r="C295" s="19">
        <v>2018</v>
      </c>
      <c r="D295" s="20" t="s">
        <v>36</v>
      </c>
      <c r="E295" s="19" t="s">
        <v>37</v>
      </c>
      <c r="F295" s="19" t="s">
        <v>19</v>
      </c>
      <c r="G295" s="19" t="s">
        <v>27</v>
      </c>
      <c r="H295" s="19">
        <v>12.66</v>
      </c>
      <c r="I295" s="19">
        <v>21.32</v>
      </c>
      <c r="J295" s="19">
        <v>1684.08</v>
      </c>
      <c r="K295" s="19" t="s">
        <v>21</v>
      </c>
      <c r="L295" s="19" t="s">
        <v>49</v>
      </c>
      <c r="M295" s="19">
        <v>174.43</v>
      </c>
      <c r="N295" s="19">
        <v>809</v>
      </c>
      <c r="O295" s="19" t="s">
        <v>70</v>
      </c>
      <c r="P295" s="21">
        <v>32.47</v>
      </c>
    </row>
    <row r="296" spans="1:16" x14ac:dyDescent="0.3">
      <c r="A296" s="17" t="s">
        <v>361</v>
      </c>
      <c r="B296" s="18">
        <v>41937</v>
      </c>
      <c r="C296" s="19">
        <v>2014</v>
      </c>
      <c r="D296" s="20" t="s">
        <v>17</v>
      </c>
      <c r="E296" s="19" t="s">
        <v>72</v>
      </c>
      <c r="F296" s="19" t="s">
        <v>33</v>
      </c>
      <c r="G296" s="19" t="s">
        <v>64</v>
      </c>
      <c r="H296" s="19">
        <v>55.27</v>
      </c>
      <c r="I296" s="19">
        <v>357.16</v>
      </c>
      <c r="J296" s="19">
        <v>6462.14</v>
      </c>
      <c r="K296" s="19" t="s">
        <v>28</v>
      </c>
      <c r="L296" s="19" t="s">
        <v>29</v>
      </c>
      <c r="M296" s="19">
        <v>132.65</v>
      </c>
      <c r="N296" s="19">
        <v>202.74</v>
      </c>
      <c r="O296" s="19" t="s">
        <v>23</v>
      </c>
      <c r="P296" s="21">
        <v>33.6</v>
      </c>
    </row>
    <row r="297" spans="1:16" x14ac:dyDescent="0.3">
      <c r="A297" s="17" t="s">
        <v>362</v>
      </c>
      <c r="B297" s="18">
        <v>44655</v>
      </c>
      <c r="C297" s="19">
        <v>2022</v>
      </c>
      <c r="D297" s="20" t="s">
        <v>103</v>
      </c>
      <c r="E297" s="19" t="s">
        <v>104</v>
      </c>
      <c r="F297" s="19" t="s">
        <v>19</v>
      </c>
      <c r="G297" s="19" t="s">
        <v>64</v>
      </c>
      <c r="H297" s="19">
        <v>72.63</v>
      </c>
      <c r="I297" s="19">
        <v>116.77</v>
      </c>
      <c r="J297" s="19">
        <v>1607.74</v>
      </c>
      <c r="K297" s="19" t="s">
        <v>34</v>
      </c>
      <c r="L297" s="19" t="s">
        <v>22</v>
      </c>
      <c r="M297" s="19">
        <v>211.08</v>
      </c>
      <c r="N297" s="19">
        <v>656.75</v>
      </c>
      <c r="O297" s="19" t="s">
        <v>70</v>
      </c>
      <c r="P297" s="21">
        <v>23.96</v>
      </c>
    </row>
    <row r="298" spans="1:16" x14ac:dyDescent="0.3">
      <c r="A298" s="17" t="s">
        <v>363</v>
      </c>
      <c r="B298" s="18">
        <v>40518</v>
      </c>
      <c r="C298" s="19">
        <v>2010</v>
      </c>
      <c r="D298" s="20" t="s">
        <v>44</v>
      </c>
      <c r="E298" s="19" t="s">
        <v>45</v>
      </c>
      <c r="F298" s="19" t="s">
        <v>38</v>
      </c>
      <c r="G298" s="19" t="s">
        <v>20</v>
      </c>
      <c r="H298" s="19">
        <v>80.36</v>
      </c>
      <c r="I298" s="19">
        <v>231.13</v>
      </c>
      <c r="J298" s="19">
        <v>2876.24</v>
      </c>
      <c r="K298" s="19" t="s">
        <v>21</v>
      </c>
      <c r="L298" s="19" t="s">
        <v>41</v>
      </c>
      <c r="M298" s="19">
        <v>73.75</v>
      </c>
      <c r="N298" s="19">
        <v>958.2</v>
      </c>
      <c r="O298" s="19" t="s">
        <v>23</v>
      </c>
      <c r="P298" s="21">
        <v>20.149999999999999</v>
      </c>
    </row>
    <row r="299" spans="1:16" x14ac:dyDescent="0.3">
      <c r="A299" s="17" t="s">
        <v>364</v>
      </c>
      <c r="B299" s="18">
        <v>42850</v>
      </c>
      <c r="C299" s="19">
        <v>2017</v>
      </c>
      <c r="D299" s="20" t="s">
        <v>31</v>
      </c>
      <c r="E299" s="19" t="s">
        <v>32</v>
      </c>
      <c r="F299" s="19" t="s">
        <v>19</v>
      </c>
      <c r="G299" s="19" t="s">
        <v>20</v>
      </c>
      <c r="H299" s="19">
        <v>87.97</v>
      </c>
      <c r="I299" s="19">
        <v>137.03</v>
      </c>
      <c r="J299" s="19">
        <v>1557.71</v>
      </c>
      <c r="K299" s="19" t="s">
        <v>34</v>
      </c>
      <c r="L299" s="19" t="s">
        <v>29</v>
      </c>
      <c r="M299" s="19">
        <v>95.72</v>
      </c>
      <c r="N299" s="19">
        <v>600.78</v>
      </c>
      <c r="O299" s="19" t="s">
        <v>52</v>
      </c>
      <c r="P299" s="21">
        <v>24.08</v>
      </c>
    </row>
    <row r="300" spans="1:16" x14ac:dyDescent="0.3">
      <c r="A300" s="17" t="s">
        <v>365</v>
      </c>
      <c r="B300" s="18">
        <v>44095</v>
      </c>
      <c r="C300" s="19">
        <v>2020</v>
      </c>
      <c r="D300" s="20" t="s">
        <v>44</v>
      </c>
      <c r="E300" s="19" t="s">
        <v>99</v>
      </c>
      <c r="F300" s="19" t="s">
        <v>33</v>
      </c>
      <c r="G300" s="19" t="s">
        <v>64</v>
      </c>
      <c r="H300" s="19">
        <v>14.12</v>
      </c>
      <c r="I300" s="19">
        <v>75.66</v>
      </c>
      <c r="J300" s="19">
        <v>5358.47</v>
      </c>
      <c r="K300" s="19" t="s">
        <v>40</v>
      </c>
      <c r="L300" s="19" t="s">
        <v>41</v>
      </c>
      <c r="M300" s="19">
        <v>75.930000000000007</v>
      </c>
      <c r="N300" s="19">
        <v>1111.23</v>
      </c>
      <c r="O300" s="19" t="s">
        <v>52</v>
      </c>
      <c r="P300" s="21">
        <v>32.03</v>
      </c>
    </row>
    <row r="301" spans="1:16" x14ac:dyDescent="0.3">
      <c r="A301" s="17" t="s">
        <v>366</v>
      </c>
      <c r="B301" s="18">
        <v>44882</v>
      </c>
      <c r="C301" s="19">
        <v>2022</v>
      </c>
      <c r="D301" s="20" t="s">
        <v>59</v>
      </c>
      <c r="E301" s="19" t="s">
        <v>63</v>
      </c>
      <c r="F301" s="19" t="s">
        <v>38</v>
      </c>
      <c r="G301" s="19" t="s">
        <v>27</v>
      </c>
      <c r="H301" s="19">
        <v>3.85</v>
      </c>
      <c r="I301" s="19">
        <v>19.66</v>
      </c>
      <c r="J301" s="19">
        <v>5106.78</v>
      </c>
      <c r="K301" s="19" t="s">
        <v>40</v>
      </c>
      <c r="L301" s="19" t="s">
        <v>49</v>
      </c>
      <c r="M301" s="19">
        <v>170.77</v>
      </c>
      <c r="N301" s="19">
        <v>688.12</v>
      </c>
      <c r="O301" s="19" t="s">
        <v>52</v>
      </c>
      <c r="P301" s="21">
        <v>26.61</v>
      </c>
    </row>
    <row r="302" spans="1:16" x14ac:dyDescent="0.3">
      <c r="A302" s="17" t="s">
        <v>367</v>
      </c>
      <c r="B302" s="18">
        <v>40313</v>
      </c>
      <c r="C302" s="19">
        <v>2010</v>
      </c>
      <c r="D302" s="20" t="s">
        <v>17</v>
      </c>
      <c r="E302" s="19" t="s">
        <v>72</v>
      </c>
      <c r="F302" s="19" t="s">
        <v>19</v>
      </c>
      <c r="G302" s="19" t="s">
        <v>39</v>
      </c>
      <c r="H302" s="19">
        <v>52.96</v>
      </c>
      <c r="I302" s="19">
        <v>289.25</v>
      </c>
      <c r="J302" s="19">
        <v>5461.74</v>
      </c>
      <c r="K302" s="19" t="s">
        <v>40</v>
      </c>
      <c r="L302" s="19" t="s">
        <v>47</v>
      </c>
      <c r="M302" s="19">
        <v>294.47000000000003</v>
      </c>
      <c r="N302" s="19">
        <v>869.84</v>
      </c>
      <c r="O302" s="19" t="s">
        <v>70</v>
      </c>
      <c r="P302" s="21">
        <v>27.79</v>
      </c>
    </row>
    <row r="303" spans="1:16" x14ac:dyDescent="0.3">
      <c r="A303" s="17" t="s">
        <v>368</v>
      </c>
      <c r="B303" s="18">
        <v>43963</v>
      </c>
      <c r="C303" s="19">
        <v>2020</v>
      </c>
      <c r="D303" s="20" t="s">
        <v>25</v>
      </c>
      <c r="E303" s="19" t="s">
        <v>87</v>
      </c>
      <c r="F303" s="19" t="s">
        <v>19</v>
      </c>
      <c r="G303" s="19" t="s">
        <v>56</v>
      </c>
      <c r="H303" s="19">
        <v>48.71</v>
      </c>
      <c r="I303" s="19">
        <v>242.69</v>
      </c>
      <c r="J303" s="19">
        <v>4982.26</v>
      </c>
      <c r="K303" s="19" t="s">
        <v>28</v>
      </c>
      <c r="L303" s="19" t="s">
        <v>41</v>
      </c>
      <c r="M303" s="19">
        <v>87.16</v>
      </c>
      <c r="N303" s="19">
        <v>1026.44</v>
      </c>
      <c r="O303" s="19" t="s">
        <v>61</v>
      </c>
      <c r="P303" s="21">
        <v>20.82</v>
      </c>
    </row>
    <row r="304" spans="1:16" x14ac:dyDescent="0.3">
      <c r="A304" s="17" t="s">
        <v>369</v>
      </c>
      <c r="B304" s="18">
        <v>42983</v>
      </c>
      <c r="C304" s="19">
        <v>2017</v>
      </c>
      <c r="D304" s="20" t="s">
        <v>59</v>
      </c>
      <c r="E304" s="19" t="s">
        <v>63</v>
      </c>
      <c r="F304" s="19" t="s">
        <v>33</v>
      </c>
      <c r="G304" s="19" t="s">
        <v>64</v>
      </c>
      <c r="H304" s="19">
        <v>75.39</v>
      </c>
      <c r="I304" s="19">
        <v>220.43</v>
      </c>
      <c r="J304" s="19">
        <v>2923.8</v>
      </c>
      <c r="K304" s="19" t="s">
        <v>34</v>
      </c>
      <c r="L304" s="19" t="s">
        <v>29</v>
      </c>
      <c r="M304" s="19">
        <v>292.54000000000002</v>
      </c>
      <c r="N304" s="19">
        <v>250.35</v>
      </c>
      <c r="O304" s="19" t="s">
        <v>42</v>
      </c>
      <c r="P304" s="21">
        <v>28.26</v>
      </c>
    </row>
    <row r="305" spans="1:16" x14ac:dyDescent="0.3">
      <c r="A305" s="17" t="s">
        <v>370</v>
      </c>
      <c r="B305" s="18">
        <v>40852</v>
      </c>
      <c r="C305" s="19">
        <v>2011</v>
      </c>
      <c r="D305" s="20" t="s">
        <v>44</v>
      </c>
      <c r="E305" s="19" t="s">
        <v>45</v>
      </c>
      <c r="F305" s="19" t="s">
        <v>38</v>
      </c>
      <c r="G305" s="19" t="s">
        <v>46</v>
      </c>
      <c r="H305" s="19">
        <v>80.319999999999993</v>
      </c>
      <c r="I305" s="19">
        <v>296.27</v>
      </c>
      <c r="J305" s="19">
        <v>3688.59</v>
      </c>
      <c r="K305" s="19" t="s">
        <v>28</v>
      </c>
      <c r="L305" s="19" t="s">
        <v>22</v>
      </c>
      <c r="M305" s="19">
        <v>161.77000000000001</v>
      </c>
      <c r="N305" s="19">
        <v>318.70999999999998</v>
      </c>
      <c r="O305" s="19" t="s">
        <v>52</v>
      </c>
      <c r="P305" s="21">
        <v>31.18</v>
      </c>
    </row>
    <row r="306" spans="1:16" x14ac:dyDescent="0.3">
      <c r="A306" s="17" t="s">
        <v>371</v>
      </c>
      <c r="B306" s="18">
        <v>40292</v>
      </c>
      <c r="C306" s="19">
        <v>2010</v>
      </c>
      <c r="D306" s="20" t="s">
        <v>36</v>
      </c>
      <c r="E306" s="19" t="s">
        <v>51</v>
      </c>
      <c r="F306" s="19" t="s">
        <v>19</v>
      </c>
      <c r="G306" s="19" t="s">
        <v>27</v>
      </c>
      <c r="H306" s="19">
        <v>1.02</v>
      </c>
      <c r="I306" s="19">
        <v>1.58</v>
      </c>
      <c r="J306" s="19">
        <v>1545.37</v>
      </c>
      <c r="K306" s="19" t="s">
        <v>34</v>
      </c>
      <c r="L306" s="19" t="s">
        <v>22</v>
      </c>
      <c r="M306" s="19">
        <v>272.52999999999997</v>
      </c>
      <c r="N306" s="19">
        <v>762.33</v>
      </c>
      <c r="O306" s="19" t="s">
        <v>52</v>
      </c>
      <c r="P306" s="21">
        <v>34.26</v>
      </c>
    </row>
    <row r="307" spans="1:16" x14ac:dyDescent="0.3">
      <c r="A307" s="17" t="s">
        <v>372</v>
      </c>
      <c r="B307" s="18">
        <v>43130</v>
      </c>
      <c r="C307" s="19">
        <v>2017</v>
      </c>
      <c r="D307" s="20" t="s">
        <v>44</v>
      </c>
      <c r="E307" s="19" t="s">
        <v>45</v>
      </c>
      <c r="F307" s="19" t="s">
        <v>38</v>
      </c>
      <c r="G307" s="19" t="s">
        <v>27</v>
      </c>
      <c r="H307" s="19">
        <v>76.97</v>
      </c>
      <c r="I307" s="19">
        <v>354.04</v>
      </c>
      <c r="J307" s="19">
        <v>4599.71</v>
      </c>
      <c r="K307" s="19" t="s">
        <v>34</v>
      </c>
      <c r="L307" s="19" t="s">
        <v>49</v>
      </c>
      <c r="M307" s="19">
        <v>228.98</v>
      </c>
      <c r="N307" s="19">
        <v>314.02</v>
      </c>
      <c r="O307" s="19" t="s">
        <v>42</v>
      </c>
      <c r="P307" s="21">
        <v>20.03</v>
      </c>
    </row>
    <row r="308" spans="1:16" x14ac:dyDescent="0.3">
      <c r="A308" s="17" t="s">
        <v>373</v>
      </c>
      <c r="B308" s="18">
        <v>42134</v>
      </c>
      <c r="C308" s="19">
        <v>2015</v>
      </c>
      <c r="D308" s="20" t="s">
        <v>59</v>
      </c>
      <c r="E308" s="19" t="s">
        <v>93</v>
      </c>
      <c r="F308" s="19" t="s">
        <v>19</v>
      </c>
      <c r="G308" s="19" t="s">
        <v>64</v>
      </c>
      <c r="H308" s="19">
        <v>5.53</v>
      </c>
      <c r="I308" s="19">
        <v>10.98</v>
      </c>
      <c r="J308" s="19">
        <v>1984.93</v>
      </c>
      <c r="K308" s="19" t="s">
        <v>40</v>
      </c>
      <c r="L308" s="19" t="s">
        <v>41</v>
      </c>
      <c r="M308" s="19">
        <v>255.46</v>
      </c>
      <c r="N308" s="19">
        <v>942.51</v>
      </c>
      <c r="O308" s="19" t="s">
        <v>52</v>
      </c>
      <c r="P308" s="21">
        <v>21.6</v>
      </c>
    </row>
    <row r="309" spans="1:16" x14ac:dyDescent="0.3">
      <c r="A309" s="17" t="s">
        <v>374</v>
      </c>
      <c r="B309" s="18">
        <v>42637</v>
      </c>
      <c r="C309" s="19">
        <v>2016</v>
      </c>
      <c r="D309" s="20" t="s">
        <v>103</v>
      </c>
      <c r="E309" s="19" t="s">
        <v>104</v>
      </c>
      <c r="F309" s="19" t="s">
        <v>33</v>
      </c>
      <c r="G309" s="19" t="s">
        <v>46</v>
      </c>
      <c r="H309" s="19">
        <v>82.63</v>
      </c>
      <c r="I309" s="19">
        <v>177.11</v>
      </c>
      <c r="J309" s="19">
        <v>2143.4699999999998</v>
      </c>
      <c r="K309" s="19" t="s">
        <v>34</v>
      </c>
      <c r="L309" s="19" t="s">
        <v>29</v>
      </c>
      <c r="M309" s="19">
        <v>76.94</v>
      </c>
      <c r="N309" s="19">
        <v>614.47</v>
      </c>
      <c r="O309" s="19" t="s">
        <v>61</v>
      </c>
      <c r="P309" s="21">
        <v>21.85</v>
      </c>
    </row>
    <row r="310" spans="1:16" x14ac:dyDescent="0.3">
      <c r="A310" s="17" t="s">
        <v>375</v>
      </c>
      <c r="B310" s="18">
        <v>43297</v>
      </c>
      <c r="C310" s="19">
        <v>2018</v>
      </c>
      <c r="D310" s="20" t="s">
        <v>17</v>
      </c>
      <c r="E310" s="19" t="s">
        <v>54</v>
      </c>
      <c r="F310" s="19" t="s">
        <v>33</v>
      </c>
      <c r="G310" s="19" t="s">
        <v>46</v>
      </c>
      <c r="H310" s="19">
        <v>1.43</v>
      </c>
      <c r="I310" s="19">
        <v>7.75</v>
      </c>
      <c r="J310" s="19">
        <v>5417.28</v>
      </c>
      <c r="K310" s="19" t="s">
        <v>28</v>
      </c>
      <c r="L310" s="19" t="s">
        <v>47</v>
      </c>
      <c r="M310" s="19">
        <v>259.7</v>
      </c>
      <c r="N310" s="19">
        <v>682.93</v>
      </c>
      <c r="O310" s="19" t="s">
        <v>61</v>
      </c>
      <c r="P310" s="21">
        <v>31.72</v>
      </c>
    </row>
    <row r="311" spans="1:16" x14ac:dyDescent="0.3">
      <c r="A311" s="17" t="s">
        <v>376</v>
      </c>
      <c r="B311" s="18">
        <v>41124</v>
      </c>
      <c r="C311" s="19">
        <v>2012</v>
      </c>
      <c r="D311" s="20" t="s">
        <v>103</v>
      </c>
      <c r="E311" s="19" t="s">
        <v>228</v>
      </c>
      <c r="F311" s="19" t="s">
        <v>33</v>
      </c>
      <c r="G311" s="19" t="s">
        <v>46</v>
      </c>
      <c r="H311" s="19">
        <v>66.09</v>
      </c>
      <c r="I311" s="19">
        <v>306.45999999999998</v>
      </c>
      <c r="J311" s="19">
        <v>4636.96</v>
      </c>
      <c r="K311" s="19" t="s">
        <v>34</v>
      </c>
      <c r="L311" s="19" t="s">
        <v>49</v>
      </c>
      <c r="M311" s="19">
        <v>176.03</v>
      </c>
      <c r="N311" s="19">
        <v>584.66</v>
      </c>
      <c r="O311" s="19" t="s">
        <v>61</v>
      </c>
      <c r="P311" s="21">
        <v>33.74</v>
      </c>
    </row>
    <row r="312" spans="1:16" x14ac:dyDescent="0.3">
      <c r="A312" s="17" t="s">
        <v>377</v>
      </c>
      <c r="B312" s="18">
        <v>42085</v>
      </c>
      <c r="C312" s="19">
        <v>2014</v>
      </c>
      <c r="D312" s="20" t="s">
        <v>36</v>
      </c>
      <c r="E312" s="19" t="s">
        <v>51</v>
      </c>
      <c r="F312" s="19" t="s">
        <v>38</v>
      </c>
      <c r="G312" s="19" t="s">
        <v>56</v>
      </c>
      <c r="H312" s="19">
        <v>14.68</v>
      </c>
      <c r="I312" s="19">
        <v>67.75</v>
      </c>
      <c r="J312" s="19">
        <v>4615.1499999999996</v>
      </c>
      <c r="K312" s="19" t="s">
        <v>34</v>
      </c>
      <c r="L312" s="19" t="s">
        <v>41</v>
      </c>
      <c r="M312" s="19">
        <v>260.77</v>
      </c>
      <c r="N312" s="19">
        <v>747.81</v>
      </c>
      <c r="O312" s="19" t="s">
        <v>70</v>
      </c>
      <c r="P312" s="21">
        <v>30.68</v>
      </c>
    </row>
    <row r="313" spans="1:16" x14ac:dyDescent="0.3">
      <c r="A313" s="17" t="s">
        <v>378</v>
      </c>
      <c r="B313" s="18">
        <v>43600</v>
      </c>
      <c r="C313" s="19">
        <v>2019</v>
      </c>
      <c r="D313" s="20" t="s">
        <v>103</v>
      </c>
      <c r="E313" s="19" t="s">
        <v>104</v>
      </c>
      <c r="F313" s="19" t="s">
        <v>19</v>
      </c>
      <c r="G313" s="19" t="s">
        <v>20</v>
      </c>
      <c r="H313" s="19">
        <v>68.97</v>
      </c>
      <c r="I313" s="19">
        <v>450.18</v>
      </c>
      <c r="J313" s="19">
        <v>6527.15</v>
      </c>
      <c r="K313" s="19" t="s">
        <v>40</v>
      </c>
      <c r="L313" s="19" t="s">
        <v>49</v>
      </c>
      <c r="M313" s="19">
        <v>295.33</v>
      </c>
      <c r="N313" s="19">
        <v>850.09</v>
      </c>
      <c r="O313" s="19" t="s">
        <v>42</v>
      </c>
      <c r="P313" s="21">
        <v>27.56</v>
      </c>
    </row>
    <row r="314" spans="1:16" x14ac:dyDescent="0.3">
      <c r="A314" s="17" t="s">
        <v>379</v>
      </c>
      <c r="B314" s="18">
        <v>44974</v>
      </c>
      <c r="C314" s="19">
        <v>2022</v>
      </c>
      <c r="D314" s="20" t="s">
        <v>17</v>
      </c>
      <c r="E314" s="19" t="s">
        <v>18</v>
      </c>
      <c r="F314" s="19" t="s">
        <v>38</v>
      </c>
      <c r="G314" s="19" t="s">
        <v>27</v>
      </c>
      <c r="H314" s="19">
        <v>48.56</v>
      </c>
      <c r="I314" s="19">
        <v>214.82</v>
      </c>
      <c r="J314" s="19">
        <v>4423.83</v>
      </c>
      <c r="K314" s="19" t="s">
        <v>28</v>
      </c>
      <c r="L314" s="19" t="s">
        <v>22</v>
      </c>
      <c r="M314" s="19">
        <v>218.56</v>
      </c>
      <c r="N314" s="19">
        <v>1093.8699999999999</v>
      </c>
      <c r="O314" s="19" t="s">
        <v>61</v>
      </c>
      <c r="P314" s="21">
        <v>24.29</v>
      </c>
    </row>
    <row r="315" spans="1:16" x14ac:dyDescent="0.3">
      <c r="A315" s="17" t="s">
        <v>380</v>
      </c>
      <c r="B315" s="18">
        <v>40520</v>
      </c>
      <c r="C315" s="19">
        <v>2010</v>
      </c>
      <c r="D315" s="20" t="s">
        <v>59</v>
      </c>
      <c r="E315" s="19" t="s">
        <v>60</v>
      </c>
      <c r="F315" s="19" t="s">
        <v>38</v>
      </c>
      <c r="G315" s="19" t="s">
        <v>56</v>
      </c>
      <c r="H315" s="19">
        <v>6.25</v>
      </c>
      <c r="I315" s="19">
        <v>8.3699999999999992</v>
      </c>
      <c r="J315" s="19">
        <v>1339.63</v>
      </c>
      <c r="K315" s="19" t="s">
        <v>34</v>
      </c>
      <c r="L315" s="19" t="s">
        <v>22</v>
      </c>
      <c r="M315" s="19">
        <v>237.55</v>
      </c>
      <c r="N315" s="19">
        <v>360.94</v>
      </c>
      <c r="O315" s="19" t="s">
        <v>70</v>
      </c>
      <c r="P315" s="21">
        <v>30.25</v>
      </c>
    </row>
    <row r="316" spans="1:16" x14ac:dyDescent="0.3">
      <c r="A316" s="17" t="s">
        <v>381</v>
      </c>
      <c r="B316" s="18">
        <v>41415</v>
      </c>
      <c r="C316" s="19">
        <v>2013</v>
      </c>
      <c r="D316" s="20" t="s">
        <v>17</v>
      </c>
      <c r="E316" s="19" t="s">
        <v>72</v>
      </c>
      <c r="F316" s="19" t="s">
        <v>19</v>
      </c>
      <c r="G316" s="19" t="s">
        <v>64</v>
      </c>
      <c r="H316" s="19">
        <v>36.51</v>
      </c>
      <c r="I316" s="19">
        <v>135.66</v>
      </c>
      <c r="J316" s="19">
        <v>3715.57</v>
      </c>
      <c r="K316" s="19" t="s">
        <v>40</v>
      </c>
      <c r="L316" s="19" t="s">
        <v>49</v>
      </c>
      <c r="M316" s="19">
        <v>235.6</v>
      </c>
      <c r="N316" s="19">
        <v>761.27</v>
      </c>
      <c r="O316" s="19" t="s">
        <v>42</v>
      </c>
      <c r="P316" s="21">
        <v>27.66</v>
      </c>
    </row>
    <row r="317" spans="1:16" x14ac:dyDescent="0.3">
      <c r="A317" s="17" t="s">
        <v>382</v>
      </c>
      <c r="B317" s="18">
        <v>40596</v>
      </c>
      <c r="C317" s="19">
        <v>2010</v>
      </c>
      <c r="D317" s="20" t="s">
        <v>17</v>
      </c>
      <c r="E317" s="19" t="s">
        <v>54</v>
      </c>
      <c r="F317" s="19" t="s">
        <v>38</v>
      </c>
      <c r="G317" s="19" t="s">
        <v>46</v>
      </c>
      <c r="H317" s="19">
        <v>42.24</v>
      </c>
      <c r="I317" s="19">
        <v>241.98</v>
      </c>
      <c r="J317" s="19">
        <v>5728.67</v>
      </c>
      <c r="K317" s="19" t="s">
        <v>34</v>
      </c>
      <c r="L317" s="19" t="s">
        <v>41</v>
      </c>
      <c r="M317" s="19">
        <v>291.45999999999998</v>
      </c>
      <c r="N317" s="19">
        <v>253.8</v>
      </c>
      <c r="O317" s="19" t="s">
        <v>70</v>
      </c>
      <c r="P317" s="21">
        <v>23.05</v>
      </c>
    </row>
    <row r="318" spans="1:16" x14ac:dyDescent="0.3">
      <c r="A318" s="17" t="s">
        <v>383</v>
      </c>
      <c r="B318" s="18">
        <v>44330</v>
      </c>
      <c r="C318" s="19">
        <v>2021</v>
      </c>
      <c r="D318" s="20" t="s">
        <v>17</v>
      </c>
      <c r="E318" s="19" t="s">
        <v>54</v>
      </c>
      <c r="F318" s="19" t="s">
        <v>19</v>
      </c>
      <c r="G318" s="19" t="s">
        <v>20</v>
      </c>
      <c r="H318" s="19">
        <v>75.760000000000005</v>
      </c>
      <c r="I318" s="19">
        <v>324.23</v>
      </c>
      <c r="J318" s="19">
        <v>4279.6899999999996</v>
      </c>
      <c r="K318" s="19" t="s">
        <v>40</v>
      </c>
      <c r="L318" s="19" t="s">
        <v>22</v>
      </c>
      <c r="M318" s="19">
        <v>244.04</v>
      </c>
      <c r="N318" s="19">
        <v>1164.29</v>
      </c>
      <c r="O318" s="19" t="s">
        <v>70</v>
      </c>
      <c r="P318" s="21">
        <v>26.73</v>
      </c>
    </row>
    <row r="319" spans="1:16" x14ac:dyDescent="0.3">
      <c r="A319" s="17" t="s">
        <v>384</v>
      </c>
      <c r="B319" s="18">
        <v>44316</v>
      </c>
      <c r="C319" s="19">
        <v>2021</v>
      </c>
      <c r="D319" s="20" t="s">
        <v>103</v>
      </c>
      <c r="E319" s="19" t="s">
        <v>104</v>
      </c>
      <c r="F319" s="19" t="s">
        <v>19</v>
      </c>
      <c r="G319" s="19" t="s">
        <v>64</v>
      </c>
      <c r="H319" s="19">
        <v>38.340000000000003</v>
      </c>
      <c r="I319" s="19">
        <v>136.91</v>
      </c>
      <c r="J319" s="19">
        <v>3571.05</v>
      </c>
      <c r="K319" s="19" t="s">
        <v>34</v>
      </c>
      <c r="L319" s="19" t="s">
        <v>41</v>
      </c>
      <c r="M319" s="19">
        <v>82.52</v>
      </c>
      <c r="N319" s="19">
        <v>783.99</v>
      </c>
      <c r="O319" s="19" t="s">
        <v>70</v>
      </c>
      <c r="P319" s="21">
        <v>20.079999999999998</v>
      </c>
    </row>
    <row r="320" spans="1:16" x14ac:dyDescent="0.3">
      <c r="A320" s="17" t="s">
        <v>385</v>
      </c>
      <c r="B320" s="18">
        <v>42140</v>
      </c>
      <c r="C320" s="19">
        <v>2015</v>
      </c>
      <c r="D320" s="20" t="s">
        <v>25</v>
      </c>
      <c r="E320" s="19" t="s">
        <v>26</v>
      </c>
      <c r="F320" s="19" t="s">
        <v>19</v>
      </c>
      <c r="G320" s="19" t="s">
        <v>64</v>
      </c>
      <c r="H320" s="19">
        <v>77.59</v>
      </c>
      <c r="I320" s="19">
        <v>368.72</v>
      </c>
      <c r="J320" s="19">
        <v>4752.2</v>
      </c>
      <c r="K320" s="19" t="s">
        <v>34</v>
      </c>
      <c r="L320" s="19" t="s">
        <v>49</v>
      </c>
      <c r="M320" s="19">
        <v>172.64</v>
      </c>
      <c r="N320" s="19">
        <v>772.68</v>
      </c>
      <c r="O320" s="19" t="s">
        <v>70</v>
      </c>
      <c r="P320" s="21">
        <v>21.09</v>
      </c>
    </row>
    <row r="321" spans="1:16" x14ac:dyDescent="0.3">
      <c r="A321" s="17" t="s">
        <v>386</v>
      </c>
      <c r="B321" s="18">
        <v>41021</v>
      </c>
      <c r="C321" s="19">
        <v>2012</v>
      </c>
      <c r="D321" s="20" t="s">
        <v>59</v>
      </c>
      <c r="E321" s="19" t="s">
        <v>60</v>
      </c>
      <c r="F321" s="19" t="s">
        <v>19</v>
      </c>
      <c r="G321" s="19" t="s">
        <v>64</v>
      </c>
      <c r="H321" s="19">
        <v>78.84</v>
      </c>
      <c r="I321" s="19">
        <v>154.22999999999999</v>
      </c>
      <c r="J321" s="19">
        <v>1956.22</v>
      </c>
      <c r="K321" s="19" t="s">
        <v>28</v>
      </c>
      <c r="L321" s="19" t="s">
        <v>49</v>
      </c>
      <c r="M321" s="19">
        <v>72.989999999999995</v>
      </c>
      <c r="N321" s="19">
        <v>421.2</v>
      </c>
      <c r="O321" s="19" t="s">
        <v>42</v>
      </c>
      <c r="P321" s="21">
        <v>29.95</v>
      </c>
    </row>
    <row r="322" spans="1:16" x14ac:dyDescent="0.3">
      <c r="A322" s="17" t="s">
        <v>387</v>
      </c>
      <c r="B322" s="18">
        <v>44691</v>
      </c>
      <c r="C322" s="19">
        <v>2022</v>
      </c>
      <c r="D322" s="20" t="s">
        <v>31</v>
      </c>
      <c r="E322" s="19" t="s">
        <v>82</v>
      </c>
      <c r="F322" s="19" t="s">
        <v>19</v>
      </c>
      <c r="G322" s="19" t="s">
        <v>27</v>
      </c>
      <c r="H322" s="19">
        <v>48.01</v>
      </c>
      <c r="I322" s="19">
        <v>209.71</v>
      </c>
      <c r="J322" s="19">
        <v>4368.01</v>
      </c>
      <c r="K322" s="19" t="s">
        <v>21</v>
      </c>
      <c r="L322" s="19" t="s">
        <v>47</v>
      </c>
      <c r="M322" s="19">
        <v>78.680000000000007</v>
      </c>
      <c r="N322" s="19">
        <v>546.01</v>
      </c>
      <c r="O322" s="19" t="s">
        <v>42</v>
      </c>
      <c r="P322" s="21">
        <v>33.57</v>
      </c>
    </row>
    <row r="323" spans="1:16" x14ac:dyDescent="0.3">
      <c r="A323" s="17" t="s">
        <v>388</v>
      </c>
      <c r="B323" s="18">
        <v>44231</v>
      </c>
      <c r="C323" s="19">
        <v>2020</v>
      </c>
      <c r="D323" s="20" t="s">
        <v>103</v>
      </c>
      <c r="E323" s="19" t="s">
        <v>104</v>
      </c>
      <c r="F323" s="19" t="s">
        <v>38</v>
      </c>
      <c r="G323" s="19" t="s">
        <v>46</v>
      </c>
      <c r="H323" s="19">
        <v>91.68</v>
      </c>
      <c r="I323" s="19">
        <v>611.5</v>
      </c>
      <c r="J323" s="19">
        <v>6669.93</v>
      </c>
      <c r="K323" s="19" t="s">
        <v>28</v>
      </c>
      <c r="L323" s="19" t="s">
        <v>47</v>
      </c>
      <c r="M323" s="19">
        <v>114.15</v>
      </c>
      <c r="N323" s="19">
        <v>923.98</v>
      </c>
      <c r="O323" s="19" t="s">
        <v>23</v>
      </c>
      <c r="P323" s="21">
        <v>33.67</v>
      </c>
    </row>
    <row r="324" spans="1:16" x14ac:dyDescent="0.3">
      <c r="A324" s="17" t="s">
        <v>389</v>
      </c>
      <c r="B324" s="18">
        <v>43177</v>
      </c>
      <c r="C324" s="19">
        <v>2017</v>
      </c>
      <c r="D324" s="20" t="s">
        <v>44</v>
      </c>
      <c r="E324" s="19" t="s">
        <v>67</v>
      </c>
      <c r="F324" s="19" t="s">
        <v>38</v>
      </c>
      <c r="G324" s="19" t="s">
        <v>64</v>
      </c>
      <c r="H324" s="19">
        <v>30.35</v>
      </c>
      <c r="I324" s="19">
        <v>148.99</v>
      </c>
      <c r="J324" s="19">
        <v>4909.17</v>
      </c>
      <c r="K324" s="19" t="s">
        <v>34</v>
      </c>
      <c r="L324" s="19" t="s">
        <v>47</v>
      </c>
      <c r="M324" s="19">
        <v>178.47</v>
      </c>
      <c r="N324" s="19">
        <v>1148.21</v>
      </c>
      <c r="O324" s="19" t="s">
        <v>42</v>
      </c>
      <c r="P324" s="21">
        <v>34.57</v>
      </c>
    </row>
    <row r="325" spans="1:16" x14ac:dyDescent="0.3">
      <c r="A325" s="17" t="s">
        <v>390</v>
      </c>
      <c r="B325" s="18">
        <v>40713</v>
      </c>
      <c r="C325" s="19">
        <v>2011</v>
      </c>
      <c r="D325" s="20" t="s">
        <v>25</v>
      </c>
      <c r="E325" s="19" t="s">
        <v>69</v>
      </c>
      <c r="F325" s="19" t="s">
        <v>33</v>
      </c>
      <c r="G325" s="19" t="s">
        <v>39</v>
      </c>
      <c r="H325" s="19">
        <v>63.32</v>
      </c>
      <c r="I325" s="19">
        <v>144.31</v>
      </c>
      <c r="J325" s="19">
        <v>2279.0500000000002</v>
      </c>
      <c r="K325" s="19" t="s">
        <v>28</v>
      </c>
      <c r="L325" s="19" t="s">
        <v>41</v>
      </c>
      <c r="M325" s="19">
        <v>258.92</v>
      </c>
      <c r="N325" s="19">
        <v>405.58</v>
      </c>
      <c r="O325" s="19" t="s">
        <v>52</v>
      </c>
      <c r="P325" s="21">
        <v>29.7</v>
      </c>
    </row>
    <row r="326" spans="1:16" x14ac:dyDescent="0.3">
      <c r="A326" s="17" t="s">
        <v>391</v>
      </c>
      <c r="B326" s="18">
        <v>44605</v>
      </c>
      <c r="C326" s="19">
        <v>2021</v>
      </c>
      <c r="D326" s="20" t="s">
        <v>25</v>
      </c>
      <c r="E326" s="19" t="s">
        <v>87</v>
      </c>
      <c r="F326" s="19" t="s">
        <v>38</v>
      </c>
      <c r="G326" s="19" t="s">
        <v>64</v>
      </c>
      <c r="H326" s="19">
        <v>9.66</v>
      </c>
      <c r="I326" s="19">
        <v>12.81</v>
      </c>
      <c r="J326" s="19">
        <v>1325.61</v>
      </c>
      <c r="K326" s="19" t="s">
        <v>34</v>
      </c>
      <c r="L326" s="19" t="s">
        <v>29</v>
      </c>
      <c r="M326" s="19">
        <v>189.52</v>
      </c>
      <c r="N326" s="19">
        <v>774.96</v>
      </c>
      <c r="O326" s="19" t="s">
        <v>42</v>
      </c>
      <c r="P326" s="21">
        <v>33.659999999999997</v>
      </c>
    </row>
    <row r="327" spans="1:16" x14ac:dyDescent="0.3">
      <c r="A327" s="17" t="s">
        <v>392</v>
      </c>
      <c r="B327" s="18">
        <v>42693</v>
      </c>
      <c r="C327" s="19">
        <v>2016</v>
      </c>
      <c r="D327" s="20" t="s">
        <v>36</v>
      </c>
      <c r="E327" s="19" t="s">
        <v>77</v>
      </c>
      <c r="F327" s="19" t="s">
        <v>38</v>
      </c>
      <c r="G327" s="19" t="s">
        <v>20</v>
      </c>
      <c r="H327" s="19">
        <v>2.67</v>
      </c>
      <c r="I327" s="19">
        <v>13.46</v>
      </c>
      <c r="J327" s="19">
        <v>5039.79</v>
      </c>
      <c r="K327" s="19" t="s">
        <v>21</v>
      </c>
      <c r="L327" s="19" t="s">
        <v>49</v>
      </c>
      <c r="M327" s="19">
        <v>210.36</v>
      </c>
      <c r="N327" s="19">
        <v>818.35</v>
      </c>
      <c r="O327" s="19" t="s">
        <v>61</v>
      </c>
      <c r="P327" s="21">
        <v>20.68</v>
      </c>
    </row>
    <row r="328" spans="1:16" x14ac:dyDescent="0.3">
      <c r="A328" s="17" t="s">
        <v>393</v>
      </c>
      <c r="B328" s="18">
        <v>41764</v>
      </c>
      <c r="C328" s="19">
        <v>2014</v>
      </c>
      <c r="D328" s="20" t="s">
        <v>59</v>
      </c>
      <c r="E328" s="19" t="s">
        <v>60</v>
      </c>
      <c r="F328" s="19" t="s">
        <v>19</v>
      </c>
      <c r="G328" s="19" t="s">
        <v>20</v>
      </c>
      <c r="H328" s="19">
        <v>61.05</v>
      </c>
      <c r="I328" s="19">
        <v>164.17</v>
      </c>
      <c r="J328" s="19">
        <v>2689.1</v>
      </c>
      <c r="K328" s="19" t="s">
        <v>28</v>
      </c>
      <c r="L328" s="19" t="s">
        <v>41</v>
      </c>
      <c r="M328" s="19">
        <v>145.35</v>
      </c>
      <c r="N328" s="19">
        <v>1022.12</v>
      </c>
      <c r="O328" s="19" t="s">
        <v>23</v>
      </c>
      <c r="P328" s="21">
        <v>27.11</v>
      </c>
    </row>
    <row r="329" spans="1:16" x14ac:dyDescent="0.3">
      <c r="A329" s="17" t="s">
        <v>394</v>
      </c>
      <c r="B329" s="18">
        <v>42463</v>
      </c>
      <c r="C329" s="19">
        <v>2016</v>
      </c>
      <c r="D329" s="20" t="s">
        <v>103</v>
      </c>
      <c r="E329" s="19" t="s">
        <v>228</v>
      </c>
      <c r="F329" s="19" t="s">
        <v>19</v>
      </c>
      <c r="G329" s="19" t="s">
        <v>20</v>
      </c>
      <c r="H329" s="19">
        <v>96.05</v>
      </c>
      <c r="I329" s="19">
        <v>179.08</v>
      </c>
      <c r="J329" s="19">
        <v>1864.45</v>
      </c>
      <c r="K329" s="19" t="s">
        <v>34</v>
      </c>
      <c r="L329" s="19" t="s">
        <v>22</v>
      </c>
      <c r="M329" s="19">
        <v>289.35000000000002</v>
      </c>
      <c r="N329" s="19">
        <v>211.15</v>
      </c>
      <c r="O329" s="19" t="s">
        <v>61</v>
      </c>
      <c r="P329" s="21">
        <v>22.12</v>
      </c>
    </row>
    <row r="330" spans="1:16" x14ac:dyDescent="0.3">
      <c r="A330" s="17" t="s">
        <v>395</v>
      </c>
      <c r="B330" s="18">
        <v>42472</v>
      </c>
      <c r="C330" s="19">
        <v>2016</v>
      </c>
      <c r="D330" s="20" t="s">
        <v>59</v>
      </c>
      <c r="E330" s="19" t="s">
        <v>93</v>
      </c>
      <c r="F330" s="19" t="s">
        <v>19</v>
      </c>
      <c r="G330" s="19" t="s">
        <v>27</v>
      </c>
      <c r="H330" s="19">
        <v>94.75</v>
      </c>
      <c r="I330" s="19">
        <v>267.97000000000003</v>
      </c>
      <c r="J330" s="19">
        <v>2828.15</v>
      </c>
      <c r="K330" s="19" t="s">
        <v>34</v>
      </c>
      <c r="L330" s="19" t="s">
        <v>41</v>
      </c>
      <c r="M330" s="19">
        <v>102.93</v>
      </c>
      <c r="N330" s="19">
        <v>1105.6300000000001</v>
      </c>
      <c r="O330" s="19" t="s">
        <v>61</v>
      </c>
      <c r="P330" s="21">
        <v>22.14</v>
      </c>
    </row>
    <row r="331" spans="1:16" x14ac:dyDescent="0.3">
      <c r="A331" s="17" t="s">
        <v>396</v>
      </c>
      <c r="B331" s="18">
        <v>41566</v>
      </c>
      <c r="C331" s="19">
        <v>2013</v>
      </c>
      <c r="D331" s="20" t="s">
        <v>59</v>
      </c>
      <c r="E331" s="19" t="s">
        <v>63</v>
      </c>
      <c r="F331" s="19" t="s">
        <v>33</v>
      </c>
      <c r="G331" s="19" t="s">
        <v>56</v>
      </c>
      <c r="H331" s="19">
        <v>67.430000000000007</v>
      </c>
      <c r="I331" s="19">
        <v>296.95</v>
      </c>
      <c r="J331" s="19">
        <v>4403.76</v>
      </c>
      <c r="K331" s="19" t="s">
        <v>21</v>
      </c>
      <c r="L331" s="19" t="s">
        <v>22</v>
      </c>
      <c r="M331" s="19">
        <v>262.85000000000002</v>
      </c>
      <c r="N331" s="19">
        <v>1132.3699999999999</v>
      </c>
      <c r="O331" s="19" t="s">
        <v>61</v>
      </c>
      <c r="P331" s="21">
        <v>26.92</v>
      </c>
    </row>
    <row r="332" spans="1:16" x14ac:dyDescent="0.3">
      <c r="A332" s="17" t="s">
        <v>397</v>
      </c>
      <c r="B332" s="18">
        <v>40865</v>
      </c>
      <c r="C332" s="19">
        <v>2011</v>
      </c>
      <c r="D332" s="20" t="s">
        <v>31</v>
      </c>
      <c r="E332" s="19" t="s">
        <v>117</v>
      </c>
      <c r="F332" s="19" t="s">
        <v>38</v>
      </c>
      <c r="G332" s="19" t="s">
        <v>64</v>
      </c>
      <c r="H332" s="19">
        <v>20.54</v>
      </c>
      <c r="I332" s="19">
        <v>92.09</v>
      </c>
      <c r="J332" s="19">
        <v>4483.57</v>
      </c>
      <c r="K332" s="19" t="s">
        <v>34</v>
      </c>
      <c r="L332" s="19" t="s">
        <v>41</v>
      </c>
      <c r="M332" s="19">
        <v>139.28</v>
      </c>
      <c r="N332" s="19">
        <v>871.3</v>
      </c>
      <c r="O332" s="19" t="s">
        <v>42</v>
      </c>
      <c r="P332" s="21">
        <v>21.5</v>
      </c>
    </row>
    <row r="333" spans="1:16" x14ac:dyDescent="0.3">
      <c r="A333" s="17" t="s">
        <v>398</v>
      </c>
      <c r="B333" s="18">
        <v>43083</v>
      </c>
      <c r="C333" s="19">
        <v>2017</v>
      </c>
      <c r="D333" s="20" t="s">
        <v>31</v>
      </c>
      <c r="E333" s="19" t="s">
        <v>32</v>
      </c>
      <c r="F333" s="19" t="s">
        <v>38</v>
      </c>
      <c r="G333" s="19" t="s">
        <v>27</v>
      </c>
      <c r="H333" s="19">
        <v>66.28</v>
      </c>
      <c r="I333" s="19">
        <v>342.05</v>
      </c>
      <c r="J333" s="19">
        <v>5160.75</v>
      </c>
      <c r="K333" s="19" t="s">
        <v>40</v>
      </c>
      <c r="L333" s="19" t="s">
        <v>22</v>
      </c>
      <c r="M333" s="19">
        <v>191.39</v>
      </c>
      <c r="N333" s="19">
        <v>564.49</v>
      </c>
      <c r="O333" s="19" t="s">
        <v>70</v>
      </c>
      <c r="P333" s="21">
        <v>34.380000000000003</v>
      </c>
    </row>
    <row r="334" spans="1:16" x14ac:dyDescent="0.3">
      <c r="A334" s="17" t="s">
        <v>399</v>
      </c>
      <c r="B334" s="18">
        <v>44804</v>
      </c>
      <c r="C334" s="19">
        <v>2022</v>
      </c>
      <c r="D334" s="20" t="s">
        <v>31</v>
      </c>
      <c r="E334" s="19" t="s">
        <v>82</v>
      </c>
      <c r="F334" s="19" t="s">
        <v>33</v>
      </c>
      <c r="G334" s="19" t="s">
        <v>39</v>
      </c>
      <c r="H334" s="19">
        <v>74.239999999999995</v>
      </c>
      <c r="I334" s="19">
        <v>268.51</v>
      </c>
      <c r="J334" s="19">
        <v>3616.74</v>
      </c>
      <c r="K334" s="19" t="s">
        <v>34</v>
      </c>
      <c r="L334" s="19" t="s">
        <v>49</v>
      </c>
      <c r="M334" s="19">
        <v>83.58</v>
      </c>
      <c r="N334" s="19">
        <v>932.97</v>
      </c>
      <c r="O334" s="19" t="s">
        <v>52</v>
      </c>
      <c r="P334" s="21">
        <v>26.94</v>
      </c>
    </row>
    <row r="335" spans="1:16" x14ac:dyDescent="0.3">
      <c r="A335" s="17" t="s">
        <v>400</v>
      </c>
      <c r="B335" s="18">
        <v>40699</v>
      </c>
      <c r="C335" s="19">
        <v>2011</v>
      </c>
      <c r="D335" s="20" t="s">
        <v>36</v>
      </c>
      <c r="E335" s="19" t="s">
        <v>77</v>
      </c>
      <c r="F335" s="19" t="s">
        <v>33</v>
      </c>
      <c r="G335" s="19" t="s">
        <v>39</v>
      </c>
      <c r="H335" s="19">
        <v>61.06</v>
      </c>
      <c r="I335" s="19">
        <v>369.46</v>
      </c>
      <c r="J335" s="19">
        <v>6050.76</v>
      </c>
      <c r="K335" s="19" t="s">
        <v>40</v>
      </c>
      <c r="L335" s="19" t="s">
        <v>47</v>
      </c>
      <c r="M335" s="19">
        <v>272.82</v>
      </c>
      <c r="N335" s="19">
        <v>396.43</v>
      </c>
      <c r="O335" s="19" t="s">
        <v>23</v>
      </c>
      <c r="P335" s="21">
        <v>30.91</v>
      </c>
    </row>
    <row r="336" spans="1:16" x14ac:dyDescent="0.3">
      <c r="A336" s="17" t="s">
        <v>401</v>
      </c>
      <c r="B336" s="18">
        <v>43605</v>
      </c>
      <c r="C336" s="19">
        <v>2019</v>
      </c>
      <c r="D336" s="20" t="s">
        <v>17</v>
      </c>
      <c r="E336" s="19" t="s">
        <v>18</v>
      </c>
      <c r="F336" s="19" t="s">
        <v>19</v>
      </c>
      <c r="G336" s="19" t="s">
        <v>46</v>
      </c>
      <c r="H336" s="19">
        <v>77.150000000000006</v>
      </c>
      <c r="I336" s="19">
        <v>175.64</v>
      </c>
      <c r="J336" s="19">
        <v>2276.56</v>
      </c>
      <c r="K336" s="19" t="s">
        <v>21</v>
      </c>
      <c r="L336" s="19" t="s">
        <v>41</v>
      </c>
      <c r="M336" s="19">
        <v>187.9</v>
      </c>
      <c r="N336" s="19">
        <v>743.47</v>
      </c>
      <c r="O336" s="19" t="s">
        <v>61</v>
      </c>
      <c r="P336" s="21">
        <v>27.08</v>
      </c>
    </row>
    <row r="337" spans="1:16" x14ac:dyDescent="0.3">
      <c r="A337" s="17" t="s">
        <v>402</v>
      </c>
      <c r="B337" s="18">
        <v>41416</v>
      </c>
      <c r="C337" s="19">
        <v>2013</v>
      </c>
      <c r="D337" s="20" t="s">
        <v>31</v>
      </c>
      <c r="E337" s="19" t="s">
        <v>32</v>
      </c>
      <c r="F337" s="19" t="s">
        <v>19</v>
      </c>
      <c r="G337" s="19" t="s">
        <v>39</v>
      </c>
      <c r="H337" s="19">
        <v>85.86</v>
      </c>
      <c r="I337" s="19">
        <v>154.83000000000001</v>
      </c>
      <c r="J337" s="19">
        <v>1803.29</v>
      </c>
      <c r="K337" s="19" t="s">
        <v>21</v>
      </c>
      <c r="L337" s="19" t="s">
        <v>47</v>
      </c>
      <c r="M337" s="19">
        <v>149.19999999999999</v>
      </c>
      <c r="N337" s="19">
        <v>702.17</v>
      </c>
      <c r="O337" s="19" t="s">
        <v>42</v>
      </c>
      <c r="P337" s="21">
        <v>32.72</v>
      </c>
    </row>
    <row r="338" spans="1:16" x14ac:dyDescent="0.3">
      <c r="A338" s="17" t="s">
        <v>403</v>
      </c>
      <c r="B338" s="18">
        <v>44700</v>
      </c>
      <c r="C338" s="19">
        <v>2022</v>
      </c>
      <c r="D338" s="20" t="s">
        <v>17</v>
      </c>
      <c r="E338" s="19" t="s">
        <v>18</v>
      </c>
      <c r="F338" s="19" t="s">
        <v>19</v>
      </c>
      <c r="G338" s="19" t="s">
        <v>56</v>
      </c>
      <c r="H338" s="19">
        <v>45.18</v>
      </c>
      <c r="I338" s="19">
        <v>93.74</v>
      </c>
      <c r="J338" s="19">
        <v>2074.87</v>
      </c>
      <c r="K338" s="19" t="s">
        <v>40</v>
      </c>
      <c r="L338" s="19" t="s">
        <v>29</v>
      </c>
      <c r="M338" s="19">
        <v>233.98</v>
      </c>
      <c r="N338" s="19">
        <v>683.5</v>
      </c>
      <c r="O338" s="19" t="s">
        <v>70</v>
      </c>
      <c r="P338" s="21">
        <v>20.61</v>
      </c>
    </row>
    <row r="339" spans="1:16" x14ac:dyDescent="0.3">
      <c r="A339" s="17" t="s">
        <v>404</v>
      </c>
      <c r="B339" s="18">
        <v>42026</v>
      </c>
      <c r="C339" s="19">
        <v>2014</v>
      </c>
      <c r="D339" s="20" t="s">
        <v>103</v>
      </c>
      <c r="E339" s="19" t="s">
        <v>104</v>
      </c>
      <c r="F339" s="19" t="s">
        <v>38</v>
      </c>
      <c r="G339" s="19" t="s">
        <v>56</v>
      </c>
      <c r="H339" s="19">
        <v>5.24</v>
      </c>
      <c r="I339" s="19">
        <v>11.74</v>
      </c>
      <c r="J339" s="19">
        <v>2240.64</v>
      </c>
      <c r="K339" s="19" t="s">
        <v>34</v>
      </c>
      <c r="L339" s="19" t="s">
        <v>22</v>
      </c>
      <c r="M339" s="19">
        <v>147.02000000000001</v>
      </c>
      <c r="N339" s="19">
        <v>1117.9000000000001</v>
      </c>
      <c r="O339" s="19" t="s">
        <v>23</v>
      </c>
      <c r="P339" s="21">
        <v>20.6</v>
      </c>
    </row>
    <row r="340" spans="1:16" x14ac:dyDescent="0.3">
      <c r="A340" s="17" t="s">
        <v>405</v>
      </c>
      <c r="B340" s="18">
        <v>44155</v>
      </c>
      <c r="C340" s="19">
        <v>2020</v>
      </c>
      <c r="D340" s="20" t="s">
        <v>17</v>
      </c>
      <c r="E340" s="19" t="s">
        <v>54</v>
      </c>
      <c r="F340" s="19" t="s">
        <v>38</v>
      </c>
      <c r="G340" s="19" t="s">
        <v>39</v>
      </c>
      <c r="H340" s="19">
        <v>27.07</v>
      </c>
      <c r="I340" s="19">
        <v>115.48</v>
      </c>
      <c r="J340" s="19">
        <v>4266.1000000000004</v>
      </c>
      <c r="K340" s="19" t="s">
        <v>40</v>
      </c>
      <c r="L340" s="19" t="s">
        <v>47</v>
      </c>
      <c r="M340" s="19">
        <v>144.16</v>
      </c>
      <c r="N340" s="19">
        <v>578.52</v>
      </c>
      <c r="O340" s="19" t="s">
        <v>61</v>
      </c>
      <c r="P340" s="21">
        <v>29.8</v>
      </c>
    </row>
    <row r="341" spans="1:16" x14ac:dyDescent="0.3">
      <c r="A341" s="17" t="s">
        <v>406</v>
      </c>
      <c r="B341" s="18">
        <v>41373</v>
      </c>
      <c r="C341" s="19">
        <v>2013</v>
      </c>
      <c r="D341" s="20" t="s">
        <v>31</v>
      </c>
      <c r="E341" s="19" t="s">
        <v>32</v>
      </c>
      <c r="F341" s="19" t="s">
        <v>19</v>
      </c>
      <c r="G341" s="19" t="s">
        <v>46</v>
      </c>
      <c r="H341" s="19">
        <v>35.94</v>
      </c>
      <c r="I341" s="19">
        <v>223.06</v>
      </c>
      <c r="J341" s="19">
        <v>6206.32</v>
      </c>
      <c r="K341" s="19" t="s">
        <v>28</v>
      </c>
      <c r="L341" s="19" t="s">
        <v>29</v>
      </c>
      <c r="M341" s="19">
        <v>248.16</v>
      </c>
      <c r="N341" s="19">
        <v>1087.17</v>
      </c>
      <c r="O341" s="19" t="s">
        <v>23</v>
      </c>
      <c r="P341" s="21">
        <v>27.53</v>
      </c>
    </row>
    <row r="342" spans="1:16" x14ac:dyDescent="0.3">
      <c r="A342" s="17" t="s">
        <v>407</v>
      </c>
      <c r="B342" s="18">
        <v>40660</v>
      </c>
      <c r="C342" s="19">
        <v>2011</v>
      </c>
      <c r="D342" s="20" t="s">
        <v>103</v>
      </c>
      <c r="E342" s="19" t="s">
        <v>104</v>
      </c>
      <c r="F342" s="19" t="s">
        <v>19</v>
      </c>
      <c r="G342" s="19" t="s">
        <v>39</v>
      </c>
      <c r="H342" s="19">
        <v>28.8</v>
      </c>
      <c r="I342" s="19">
        <v>54.76</v>
      </c>
      <c r="J342" s="19">
        <v>1901.44</v>
      </c>
      <c r="K342" s="19" t="s">
        <v>40</v>
      </c>
      <c r="L342" s="19" t="s">
        <v>49</v>
      </c>
      <c r="M342" s="19">
        <v>140.56</v>
      </c>
      <c r="N342" s="19">
        <v>917.3</v>
      </c>
      <c r="O342" s="19" t="s">
        <v>23</v>
      </c>
      <c r="P342" s="21">
        <v>29.92</v>
      </c>
    </row>
    <row r="343" spans="1:16" x14ac:dyDescent="0.3">
      <c r="A343" s="17" t="s">
        <v>408</v>
      </c>
      <c r="B343" s="18">
        <v>42834</v>
      </c>
      <c r="C343" s="19">
        <v>2017</v>
      </c>
      <c r="D343" s="20" t="s">
        <v>17</v>
      </c>
      <c r="E343" s="19" t="s">
        <v>18</v>
      </c>
      <c r="F343" s="19" t="s">
        <v>19</v>
      </c>
      <c r="G343" s="19" t="s">
        <v>46</v>
      </c>
      <c r="H343" s="19">
        <v>48.42</v>
      </c>
      <c r="I343" s="19">
        <v>220.06</v>
      </c>
      <c r="J343" s="19">
        <v>4544.75</v>
      </c>
      <c r="K343" s="19" t="s">
        <v>28</v>
      </c>
      <c r="L343" s="19" t="s">
        <v>47</v>
      </c>
      <c r="M343" s="19">
        <v>55.61</v>
      </c>
      <c r="N343" s="19">
        <v>243.14</v>
      </c>
      <c r="O343" s="19" t="s">
        <v>61</v>
      </c>
      <c r="P343" s="21">
        <v>28.89</v>
      </c>
    </row>
    <row r="344" spans="1:16" x14ac:dyDescent="0.3">
      <c r="A344" s="17" t="s">
        <v>409</v>
      </c>
      <c r="B344" s="18">
        <v>41133</v>
      </c>
      <c r="C344" s="19">
        <v>2012</v>
      </c>
      <c r="D344" s="20" t="s">
        <v>25</v>
      </c>
      <c r="E344" s="19" t="s">
        <v>69</v>
      </c>
      <c r="F344" s="19" t="s">
        <v>33</v>
      </c>
      <c r="G344" s="19" t="s">
        <v>56</v>
      </c>
      <c r="H344" s="19">
        <v>26.57</v>
      </c>
      <c r="I344" s="19">
        <v>55.27</v>
      </c>
      <c r="J344" s="19">
        <v>2080.23</v>
      </c>
      <c r="K344" s="19" t="s">
        <v>28</v>
      </c>
      <c r="L344" s="19" t="s">
        <v>22</v>
      </c>
      <c r="M344" s="19">
        <v>199.84</v>
      </c>
      <c r="N344" s="19">
        <v>763.6</v>
      </c>
      <c r="O344" s="19" t="s">
        <v>23</v>
      </c>
      <c r="P344" s="21">
        <v>33.18</v>
      </c>
    </row>
    <row r="345" spans="1:16" x14ac:dyDescent="0.3">
      <c r="A345" s="17" t="s">
        <v>410</v>
      </c>
      <c r="B345" s="18">
        <v>43900</v>
      </c>
      <c r="C345" s="19">
        <v>2019</v>
      </c>
      <c r="D345" s="20" t="s">
        <v>103</v>
      </c>
      <c r="E345" s="19" t="s">
        <v>107</v>
      </c>
      <c r="F345" s="19" t="s">
        <v>38</v>
      </c>
      <c r="G345" s="19" t="s">
        <v>46</v>
      </c>
      <c r="H345" s="19">
        <v>17.89</v>
      </c>
      <c r="I345" s="19">
        <v>107.02</v>
      </c>
      <c r="J345" s="19">
        <v>5982.18</v>
      </c>
      <c r="K345" s="19" t="s">
        <v>40</v>
      </c>
      <c r="L345" s="19" t="s">
        <v>49</v>
      </c>
      <c r="M345" s="19">
        <v>248.65</v>
      </c>
      <c r="N345" s="19">
        <v>1020.45</v>
      </c>
      <c r="O345" s="19" t="s">
        <v>42</v>
      </c>
      <c r="P345" s="21">
        <v>29.35</v>
      </c>
    </row>
    <row r="346" spans="1:16" x14ac:dyDescent="0.3">
      <c r="A346" s="17" t="s">
        <v>411</v>
      </c>
      <c r="B346" s="18">
        <v>44265</v>
      </c>
      <c r="C346" s="19">
        <v>2020</v>
      </c>
      <c r="D346" s="20" t="s">
        <v>103</v>
      </c>
      <c r="E346" s="19" t="s">
        <v>228</v>
      </c>
      <c r="F346" s="19" t="s">
        <v>38</v>
      </c>
      <c r="G346" s="19" t="s">
        <v>46</v>
      </c>
      <c r="H346" s="19">
        <v>60.06</v>
      </c>
      <c r="I346" s="19">
        <v>84.87</v>
      </c>
      <c r="J346" s="19">
        <v>1413.06</v>
      </c>
      <c r="K346" s="19" t="s">
        <v>28</v>
      </c>
      <c r="L346" s="19" t="s">
        <v>29</v>
      </c>
      <c r="M346" s="19">
        <v>146.37</v>
      </c>
      <c r="N346" s="19">
        <v>308.57</v>
      </c>
      <c r="O346" s="19" t="s">
        <v>42</v>
      </c>
      <c r="P346" s="21">
        <v>27.84</v>
      </c>
    </row>
    <row r="347" spans="1:16" x14ac:dyDescent="0.3">
      <c r="A347" s="17" t="s">
        <v>412</v>
      </c>
      <c r="B347" s="18">
        <v>43650</v>
      </c>
      <c r="C347" s="19">
        <v>2019</v>
      </c>
      <c r="D347" s="20" t="s">
        <v>44</v>
      </c>
      <c r="E347" s="19" t="s">
        <v>45</v>
      </c>
      <c r="F347" s="19" t="s">
        <v>33</v>
      </c>
      <c r="G347" s="19" t="s">
        <v>56</v>
      </c>
      <c r="H347" s="19">
        <v>48.11</v>
      </c>
      <c r="I347" s="19">
        <v>225.56</v>
      </c>
      <c r="J347" s="19">
        <v>4688.49</v>
      </c>
      <c r="K347" s="19" t="s">
        <v>21</v>
      </c>
      <c r="L347" s="19" t="s">
        <v>47</v>
      </c>
      <c r="M347" s="19">
        <v>269.44</v>
      </c>
      <c r="N347" s="19">
        <v>731.43</v>
      </c>
      <c r="O347" s="19" t="s">
        <v>23</v>
      </c>
      <c r="P347" s="21">
        <v>21.4</v>
      </c>
    </row>
    <row r="348" spans="1:16" x14ac:dyDescent="0.3">
      <c r="A348" s="17" t="s">
        <v>413</v>
      </c>
      <c r="B348" s="18">
        <v>44676</v>
      </c>
      <c r="C348" s="19">
        <v>2022</v>
      </c>
      <c r="D348" s="20" t="s">
        <v>59</v>
      </c>
      <c r="E348" s="19" t="s">
        <v>60</v>
      </c>
      <c r="F348" s="19" t="s">
        <v>19</v>
      </c>
      <c r="G348" s="19" t="s">
        <v>39</v>
      </c>
      <c r="H348" s="19">
        <v>43.72</v>
      </c>
      <c r="I348" s="19">
        <v>154.07</v>
      </c>
      <c r="J348" s="19">
        <v>3524.1</v>
      </c>
      <c r="K348" s="19" t="s">
        <v>21</v>
      </c>
      <c r="L348" s="19" t="s">
        <v>49</v>
      </c>
      <c r="M348" s="19">
        <v>224.41</v>
      </c>
      <c r="N348" s="19">
        <v>628.96</v>
      </c>
      <c r="O348" s="19" t="s">
        <v>52</v>
      </c>
      <c r="P348" s="21">
        <v>31.84</v>
      </c>
    </row>
    <row r="349" spans="1:16" x14ac:dyDescent="0.3">
      <c r="A349" s="17" t="s">
        <v>414</v>
      </c>
      <c r="B349" s="18">
        <v>44708</v>
      </c>
      <c r="C349" s="19">
        <v>2022</v>
      </c>
      <c r="D349" s="20" t="s">
        <v>59</v>
      </c>
      <c r="E349" s="19" t="s">
        <v>93</v>
      </c>
      <c r="F349" s="19" t="s">
        <v>19</v>
      </c>
      <c r="G349" s="19" t="s">
        <v>27</v>
      </c>
      <c r="H349" s="19">
        <v>10.67</v>
      </c>
      <c r="I349" s="19">
        <v>19.239999999999998</v>
      </c>
      <c r="J349" s="19">
        <v>1803.3</v>
      </c>
      <c r="K349" s="19" t="s">
        <v>28</v>
      </c>
      <c r="L349" s="19" t="s">
        <v>47</v>
      </c>
      <c r="M349" s="19">
        <v>241.46</v>
      </c>
      <c r="N349" s="19">
        <v>1110.0899999999999</v>
      </c>
      <c r="O349" s="19" t="s">
        <v>23</v>
      </c>
      <c r="P349" s="21">
        <v>24.25</v>
      </c>
    </row>
    <row r="350" spans="1:16" x14ac:dyDescent="0.3">
      <c r="A350" s="17" t="s">
        <v>415</v>
      </c>
      <c r="B350" s="18">
        <v>41506</v>
      </c>
      <c r="C350" s="19">
        <v>2013</v>
      </c>
      <c r="D350" s="20" t="s">
        <v>36</v>
      </c>
      <c r="E350" s="19" t="s">
        <v>51</v>
      </c>
      <c r="F350" s="19" t="s">
        <v>33</v>
      </c>
      <c r="G350" s="19" t="s">
        <v>39</v>
      </c>
      <c r="H350" s="19">
        <v>74.62</v>
      </c>
      <c r="I350" s="19">
        <v>77.8</v>
      </c>
      <c r="J350" s="19">
        <v>1042.68</v>
      </c>
      <c r="K350" s="19" t="s">
        <v>21</v>
      </c>
      <c r="L350" s="19" t="s">
        <v>29</v>
      </c>
      <c r="M350" s="19">
        <v>179.94</v>
      </c>
      <c r="N350" s="19">
        <v>575.03</v>
      </c>
      <c r="O350" s="19" t="s">
        <v>42</v>
      </c>
      <c r="P350" s="21">
        <v>30.32</v>
      </c>
    </row>
    <row r="351" spans="1:16" x14ac:dyDescent="0.3">
      <c r="A351" s="17" t="s">
        <v>416</v>
      </c>
      <c r="B351" s="18">
        <v>41319</v>
      </c>
      <c r="C351" s="19">
        <v>2012</v>
      </c>
      <c r="D351" s="20" t="s">
        <v>31</v>
      </c>
      <c r="E351" s="19" t="s">
        <v>82</v>
      </c>
      <c r="F351" s="19" t="s">
        <v>38</v>
      </c>
      <c r="G351" s="19" t="s">
        <v>39</v>
      </c>
      <c r="H351" s="19">
        <v>58.95</v>
      </c>
      <c r="I351" s="19">
        <v>151.37</v>
      </c>
      <c r="J351" s="19">
        <v>2567.8200000000002</v>
      </c>
      <c r="K351" s="19" t="s">
        <v>28</v>
      </c>
      <c r="L351" s="19" t="s">
        <v>47</v>
      </c>
      <c r="M351" s="19">
        <v>191.17</v>
      </c>
      <c r="N351" s="19">
        <v>811.88</v>
      </c>
      <c r="O351" s="19" t="s">
        <v>52</v>
      </c>
      <c r="P351" s="21">
        <v>31.32</v>
      </c>
    </row>
    <row r="352" spans="1:16" x14ac:dyDescent="0.3">
      <c r="A352" s="17" t="s">
        <v>417</v>
      </c>
      <c r="B352" s="18">
        <v>42917</v>
      </c>
      <c r="C352" s="19">
        <v>2017</v>
      </c>
      <c r="D352" s="20" t="s">
        <v>44</v>
      </c>
      <c r="E352" s="19" t="s">
        <v>67</v>
      </c>
      <c r="F352" s="19" t="s">
        <v>33</v>
      </c>
      <c r="G352" s="19" t="s">
        <v>20</v>
      </c>
      <c r="H352" s="19">
        <v>56.35</v>
      </c>
      <c r="I352" s="19">
        <v>219.91</v>
      </c>
      <c r="J352" s="19">
        <v>3902.56</v>
      </c>
      <c r="K352" s="19" t="s">
        <v>34</v>
      </c>
      <c r="L352" s="19" t="s">
        <v>41</v>
      </c>
      <c r="M352" s="19">
        <v>194.41</v>
      </c>
      <c r="N352" s="19">
        <v>974.19</v>
      </c>
      <c r="O352" s="19" t="s">
        <v>52</v>
      </c>
      <c r="P352" s="21">
        <v>31.04</v>
      </c>
    </row>
    <row r="353" spans="1:16" x14ac:dyDescent="0.3">
      <c r="A353" s="17" t="s">
        <v>418</v>
      </c>
      <c r="B353" s="18">
        <v>41098</v>
      </c>
      <c r="C353" s="19">
        <v>2012</v>
      </c>
      <c r="D353" s="20" t="s">
        <v>36</v>
      </c>
      <c r="E353" s="19" t="s">
        <v>77</v>
      </c>
      <c r="F353" s="19" t="s">
        <v>33</v>
      </c>
      <c r="G353" s="19" t="s">
        <v>56</v>
      </c>
      <c r="H353" s="19">
        <v>51.33</v>
      </c>
      <c r="I353" s="19">
        <v>293.43</v>
      </c>
      <c r="J353" s="19">
        <v>5716.49</v>
      </c>
      <c r="K353" s="19" t="s">
        <v>21</v>
      </c>
      <c r="L353" s="19" t="s">
        <v>29</v>
      </c>
      <c r="M353" s="19">
        <v>90.18</v>
      </c>
      <c r="N353" s="19">
        <v>1164.57</v>
      </c>
      <c r="O353" s="19" t="s">
        <v>23</v>
      </c>
      <c r="P353" s="21">
        <v>32.07</v>
      </c>
    </row>
    <row r="354" spans="1:16" x14ac:dyDescent="0.3">
      <c r="A354" s="17" t="s">
        <v>419</v>
      </c>
      <c r="B354" s="18">
        <v>40828</v>
      </c>
      <c r="C354" s="19">
        <v>2011</v>
      </c>
      <c r="D354" s="20" t="s">
        <v>59</v>
      </c>
      <c r="E354" s="19" t="s">
        <v>63</v>
      </c>
      <c r="F354" s="19" t="s">
        <v>33</v>
      </c>
      <c r="G354" s="19" t="s">
        <v>20</v>
      </c>
      <c r="H354" s="19">
        <v>22.96</v>
      </c>
      <c r="I354" s="19">
        <v>33.99</v>
      </c>
      <c r="J354" s="19">
        <v>1480.24</v>
      </c>
      <c r="K354" s="19" t="s">
        <v>21</v>
      </c>
      <c r="L354" s="19" t="s">
        <v>49</v>
      </c>
      <c r="M354" s="19">
        <v>231.12</v>
      </c>
      <c r="N354" s="19">
        <v>1130.68</v>
      </c>
      <c r="O354" s="19" t="s">
        <v>52</v>
      </c>
      <c r="P354" s="21">
        <v>29.21</v>
      </c>
    </row>
    <row r="355" spans="1:16" x14ac:dyDescent="0.3">
      <c r="A355" s="17" t="s">
        <v>420</v>
      </c>
      <c r="B355" s="18">
        <v>40389</v>
      </c>
      <c r="C355" s="19">
        <v>2010</v>
      </c>
      <c r="D355" s="20" t="s">
        <v>17</v>
      </c>
      <c r="E355" s="19" t="s">
        <v>54</v>
      </c>
      <c r="F355" s="19" t="s">
        <v>33</v>
      </c>
      <c r="G355" s="19" t="s">
        <v>39</v>
      </c>
      <c r="H355" s="19">
        <v>49.94</v>
      </c>
      <c r="I355" s="19">
        <v>53.15</v>
      </c>
      <c r="J355" s="19">
        <v>1064.26</v>
      </c>
      <c r="K355" s="19" t="s">
        <v>34</v>
      </c>
      <c r="L355" s="19" t="s">
        <v>47</v>
      </c>
      <c r="M355" s="19">
        <v>98.69</v>
      </c>
      <c r="N355" s="19">
        <v>983.96</v>
      </c>
      <c r="O355" s="19" t="s">
        <v>61</v>
      </c>
      <c r="P355" s="21">
        <v>27.74</v>
      </c>
    </row>
    <row r="356" spans="1:16" x14ac:dyDescent="0.3">
      <c r="A356" s="17" t="s">
        <v>421</v>
      </c>
      <c r="B356" s="18">
        <v>40586</v>
      </c>
      <c r="C356" s="19">
        <v>2010</v>
      </c>
      <c r="D356" s="20" t="s">
        <v>103</v>
      </c>
      <c r="E356" s="19" t="s">
        <v>228</v>
      </c>
      <c r="F356" s="19" t="s">
        <v>38</v>
      </c>
      <c r="G356" s="19" t="s">
        <v>56</v>
      </c>
      <c r="H356" s="19">
        <v>65.849999999999994</v>
      </c>
      <c r="I356" s="19">
        <v>451.33</v>
      </c>
      <c r="J356" s="19">
        <v>6853.88</v>
      </c>
      <c r="K356" s="19" t="s">
        <v>21</v>
      </c>
      <c r="L356" s="19" t="s">
        <v>47</v>
      </c>
      <c r="M356" s="19">
        <v>299.2</v>
      </c>
      <c r="N356" s="19">
        <v>979.67</v>
      </c>
      <c r="O356" s="19" t="s">
        <v>70</v>
      </c>
      <c r="P356" s="21">
        <v>30.04</v>
      </c>
    </row>
    <row r="357" spans="1:16" x14ac:dyDescent="0.3">
      <c r="A357" s="17" t="s">
        <v>422</v>
      </c>
      <c r="B357" s="18">
        <v>40321</v>
      </c>
      <c r="C357" s="19">
        <v>2010</v>
      </c>
      <c r="D357" s="20" t="s">
        <v>103</v>
      </c>
      <c r="E357" s="19" t="s">
        <v>228</v>
      </c>
      <c r="F357" s="19" t="s">
        <v>19</v>
      </c>
      <c r="G357" s="19" t="s">
        <v>39</v>
      </c>
      <c r="H357" s="19">
        <v>7.79</v>
      </c>
      <c r="I357" s="19">
        <v>12</v>
      </c>
      <c r="J357" s="19">
        <v>1541</v>
      </c>
      <c r="K357" s="19" t="s">
        <v>34</v>
      </c>
      <c r="L357" s="19" t="s">
        <v>49</v>
      </c>
      <c r="M357" s="19">
        <v>231.53</v>
      </c>
      <c r="N357" s="19">
        <v>759.11</v>
      </c>
      <c r="O357" s="19" t="s">
        <v>61</v>
      </c>
      <c r="P357" s="21">
        <v>25.22</v>
      </c>
    </row>
    <row r="358" spans="1:16" x14ac:dyDescent="0.3">
      <c r="A358" s="17" t="s">
        <v>423</v>
      </c>
      <c r="B358" s="18">
        <v>41608</v>
      </c>
      <c r="C358" s="19">
        <v>2013</v>
      </c>
      <c r="D358" s="20" t="s">
        <v>103</v>
      </c>
      <c r="E358" s="19" t="s">
        <v>228</v>
      </c>
      <c r="F358" s="19" t="s">
        <v>38</v>
      </c>
      <c r="G358" s="19" t="s">
        <v>46</v>
      </c>
      <c r="H358" s="19">
        <v>57.92</v>
      </c>
      <c r="I358" s="19">
        <v>148.66</v>
      </c>
      <c r="J358" s="19">
        <v>2566.65</v>
      </c>
      <c r="K358" s="19" t="s">
        <v>28</v>
      </c>
      <c r="L358" s="19" t="s">
        <v>47</v>
      </c>
      <c r="M358" s="19">
        <v>176.56</v>
      </c>
      <c r="N358" s="19">
        <v>758.63</v>
      </c>
      <c r="O358" s="19" t="s">
        <v>61</v>
      </c>
      <c r="P358" s="21">
        <v>24.41</v>
      </c>
    </row>
    <row r="359" spans="1:16" x14ac:dyDescent="0.3">
      <c r="A359" s="17" t="s">
        <v>424</v>
      </c>
      <c r="B359" s="18">
        <v>44709</v>
      </c>
      <c r="C359" s="19">
        <v>2022</v>
      </c>
      <c r="D359" s="20" t="s">
        <v>31</v>
      </c>
      <c r="E359" s="19" t="s">
        <v>117</v>
      </c>
      <c r="F359" s="19" t="s">
        <v>19</v>
      </c>
      <c r="G359" s="19" t="s">
        <v>20</v>
      </c>
      <c r="H359" s="19">
        <v>69.72</v>
      </c>
      <c r="I359" s="19">
        <v>473.84</v>
      </c>
      <c r="J359" s="19">
        <v>6796.33</v>
      </c>
      <c r="K359" s="19" t="s">
        <v>28</v>
      </c>
      <c r="L359" s="19" t="s">
        <v>47</v>
      </c>
      <c r="M359" s="19">
        <v>242.49</v>
      </c>
      <c r="N359" s="19">
        <v>957.47</v>
      </c>
      <c r="O359" s="19" t="s">
        <v>52</v>
      </c>
      <c r="P359" s="21">
        <v>30.22</v>
      </c>
    </row>
    <row r="360" spans="1:16" x14ac:dyDescent="0.3">
      <c r="A360" s="17" t="s">
        <v>425</v>
      </c>
      <c r="B360" s="18">
        <v>42977</v>
      </c>
      <c r="C360" s="19">
        <v>2017</v>
      </c>
      <c r="D360" s="20" t="s">
        <v>44</v>
      </c>
      <c r="E360" s="19" t="s">
        <v>45</v>
      </c>
      <c r="F360" s="19" t="s">
        <v>33</v>
      </c>
      <c r="G360" s="19" t="s">
        <v>20</v>
      </c>
      <c r="H360" s="19">
        <v>7.69</v>
      </c>
      <c r="I360" s="19">
        <v>36.93</v>
      </c>
      <c r="J360" s="19">
        <v>4801.97</v>
      </c>
      <c r="K360" s="19" t="s">
        <v>40</v>
      </c>
      <c r="L360" s="19" t="s">
        <v>47</v>
      </c>
      <c r="M360" s="19">
        <v>219.23</v>
      </c>
      <c r="N360" s="19">
        <v>429.93</v>
      </c>
      <c r="O360" s="19" t="s">
        <v>70</v>
      </c>
      <c r="P360" s="21">
        <v>26.19</v>
      </c>
    </row>
    <row r="361" spans="1:16" x14ac:dyDescent="0.3">
      <c r="A361" s="17" t="s">
        <v>426</v>
      </c>
      <c r="B361" s="18">
        <v>44556</v>
      </c>
      <c r="C361" s="19">
        <v>2021</v>
      </c>
      <c r="D361" s="20" t="s">
        <v>59</v>
      </c>
      <c r="E361" s="19" t="s">
        <v>60</v>
      </c>
      <c r="F361" s="19" t="s">
        <v>38</v>
      </c>
      <c r="G361" s="19" t="s">
        <v>56</v>
      </c>
      <c r="H361" s="19">
        <v>29.44</v>
      </c>
      <c r="I361" s="19">
        <v>99.91</v>
      </c>
      <c r="J361" s="19">
        <v>3393.58</v>
      </c>
      <c r="K361" s="19" t="s">
        <v>34</v>
      </c>
      <c r="L361" s="19" t="s">
        <v>47</v>
      </c>
      <c r="M361" s="19">
        <v>69.010000000000005</v>
      </c>
      <c r="N361" s="19">
        <v>1131.4000000000001</v>
      </c>
      <c r="O361" s="19" t="s">
        <v>52</v>
      </c>
      <c r="P361" s="21">
        <v>24.71</v>
      </c>
    </row>
    <row r="362" spans="1:16" x14ac:dyDescent="0.3">
      <c r="A362" s="17" t="s">
        <v>427</v>
      </c>
      <c r="B362" s="18">
        <v>44340</v>
      </c>
      <c r="C362" s="19">
        <v>2021</v>
      </c>
      <c r="D362" s="20" t="s">
        <v>31</v>
      </c>
      <c r="E362" s="19" t="s">
        <v>82</v>
      </c>
      <c r="F362" s="19" t="s">
        <v>19</v>
      </c>
      <c r="G362" s="19" t="s">
        <v>56</v>
      </c>
      <c r="H362" s="19">
        <v>50.4</v>
      </c>
      <c r="I362" s="19">
        <v>110.78</v>
      </c>
      <c r="J362" s="19">
        <v>2198</v>
      </c>
      <c r="K362" s="19" t="s">
        <v>40</v>
      </c>
      <c r="L362" s="19" t="s">
        <v>47</v>
      </c>
      <c r="M362" s="19">
        <v>268.19</v>
      </c>
      <c r="N362" s="19">
        <v>406.78</v>
      </c>
      <c r="O362" s="19" t="s">
        <v>42</v>
      </c>
      <c r="P362" s="21">
        <v>32.520000000000003</v>
      </c>
    </row>
    <row r="363" spans="1:16" x14ac:dyDescent="0.3">
      <c r="A363" s="17" t="s">
        <v>428</v>
      </c>
      <c r="B363" s="18">
        <v>44836</v>
      </c>
      <c r="C363" s="19">
        <v>2022</v>
      </c>
      <c r="D363" s="20" t="s">
        <v>31</v>
      </c>
      <c r="E363" s="19" t="s">
        <v>82</v>
      </c>
      <c r="F363" s="19" t="s">
        <v>33</v>
      </c>
      <c r="G363" s="19" t="s">
        <v>64</v>
      </c>
      <c r="H363" s="19">
        <v>92.1</v>
      </c>
      <c r="I363" s="19">
        <v>465.55</v>
      </c>
      <c r="J363" s="19">
        <v>5054.87</v>
      </c>
      <c r="K363" s="19" t="s">
        <v>28</v>
      </c>
      <c r="L363" s="19" t="s">
        <v>49</v>
      </c>
      <c r="M363" s="19">
        <v>203.46</v>
      </c>
      <c r="N363" s="19">
        <v>964.24</v>
      </c>
      <c r="O363" s="19" t="s">
        <v>61</v>
      </c>
      <c r="P363" s="21">
        <v>34.369999999999997</v>
      </c>
    </row>
    <row r="364" spans="1:16" x14ac:dyDescent="0.3">
      <c r="A364" s="17" t="s">
        <v>429</v>
      </c>
      <c r="B364" s="18">
        <v>42877</v>
      </c>
      <c r="C364" s="19">
        <v>2017</v>
      </c>
      <c r="D364" s="20" t="s">
        <v>59</v>
      </c>
      <c r="E364" s="19" t="s">
        <v>63</v>
      </c>
      <c r="F364" s="19" t="s">
        <v>19</v>
      </c>
      <c r="G364" s="19" t="s">
        <v>20</v>
      </c>
      <c r="H364" s="19">
        <v>49.59</v>
      </c>
      <c r="I364" s="19">
        <v>342.49</v>
      </c>
      <c r="J364" s="19">
        <v>6906.37</v>
      </c>
      <c r="K364" s="19" t="s">
        <v>34</v>
      </c>
      <c r="L364" s="19" t="s">
        <v>29</v>
      </c>
      <c r="M364" s="19">
        <v>149.47</v>
      </c>
      <c r="N364" s="19">
        <v>950.17</v>
      </c>
      <c r="O364" s="19" t="s">
        <v>42</v>
      </c>
      <c r="P364" s="21">
        <v>20.81</v>
      </c>
    </row>
    <row r="365" spans="1:16" x14ac:dyDescent="0.3">
      <c r="A365" s="17" t="s">
        <v>430</v>
      </c>
      <c r="B365" s="18">
        <v>40313</v>
      </c>
      <c r="C365" s="19">
        <v>2010</v>
      </c>
      <c r="D365" s="20" t="s">
        <v>36</v>
      </c>
      <c r="E365" s="19" t="s">
        <v>77</v>
      </c>
      <c r="F365" s="19" t="s">
        <v>19</v>
      </c>
      <c r="G365" s="19" t="s">
        <v>20</v>
      </c>
      <c r="H365" s="19">
        <v>39.979999999999997</v>
      </c>
      <c r="I365" s="19">
        <v>204.62</v>
      </c>
      <c r="J365" s="19">
        <v>5118.03</v>
      </c>
      <c r="K365" s="19" t="s">
        <v>40</v>
      </c>
      <c r="L365" s="19" t="s">
        <v>22</v>
      </c>
      <c r="M365" s="19">
        <v>164.3</v>
      </c>
      <c r="N365" s="19">
        <v>320.37</v>
      </c>
      <c r="O365" s="19" t="s">
        <v>61</v>
      </c>
      <c r="P365" s="21">
        <v>26.9</v>
      </c>
    </row>
    <row r="366" spans="1:16" x14ac:dyDescent="0.3">
      <c r="A366" s="17" t="s">
        <v>431</v>
      </c>
      <c r="B366" s="18">
        <v>41666</v>
      </c>
      <c r="C366" s="19">
        <v>2013</v>
      </c>
      <c r="D366" s="20" t="s">
        <v>25</v>
      </c>
      <c r="E366" s="19" t="s">
        <v>69</v>
      </c>
      <c r="F366" s="19" t="s">
        <v>38</v>
      </c>
      <c r="G366" s="19" t="s">
        <v>27</v>
      </c>
      <c r="H366" s="19">
        <v>10.97</v>
      </c>
      <c r="I366" s="19">
        <v>34.770000000000003</v>
      </c>
      <c r="J366" s="19">
        <v>3169.61</v>
      </c>
      <c r="K366" s="19" t="s">
        <v>34</v>
      </c>
      <c r="L366" s="19" t="s">
        <v>49</v>
      </c>
      <c r="M366" s="19">
        <v>96.79</v>
      </c>
      <c r="N366" s="19">
        <v>462.85</v>
      </c>
      <c r="O366" s="19" t="s">
        <v>70</v>
      </c>
      <c r="P366" s="21">
        <v>27.07</v>
      </c>
    </row>
    <row r="367" spans="1:16" x14ac:dyDescent="0.3">
      <c r="A367" s="17" t="s">
        <v>432</v>
      </c>
      <c r="B367" s="18">
        <v>42580</v>
      </c>
      <c r="C367" s="19">
        <v>2016</v>
      </c>
      <c r="D367" s="20" t="s">
        <v>103</v>
      </c>
      <c r="E367" s="19" t="s">
        <v>107</v>
      </c>
      <c r="F367" s="19" t="s">
        <v>33</v>
      </c>
      <c r="G367" s="19" t="s">
        <v>46</v>
      </c>
      <c r="H367" s="19">
        <v>70.37</v>
      </c>
      <c r="I367" s="19">
        <v>227.57</v>
      </c>
      <c r="J367" s="19">
        <v>3233.86</v>
      </c>
      <c r="K367" s="19" t="s">
        <v>28</v>
      </c>
      <c r="L367" s="19" t="s">
        <v>22</v>
      </c>
      <c r="M367" s="19">
        <v>119.91</v>
      </c>
      <c r="N367" s="19">
        <v>379.89</v>
      </c>
      <c r="O367" s="19" t="s">
        <v>42</v>
      </c>
      <c r="P367" s="21">
        <v>34.69</v>
      </c>
    </row>
    <row r="368" spans="1:16" x14ac:dyDescent="0.3">
      <c r="A368" s="17" t="s">
        <v>433</v>
      </c>
      <c r="B368" s="18">
        <v>44758</v>
      </c>
      <c r="C368" s="19">
        <v>2022</v>
      </c>
      <c r="D368" s="20" t="s">
        <v>17</v>
      </c>
      <c r="E368" s="19" t="s">
        <v>72</v>
      </c>
      <c r="F368" s="19" t="s">
        <v>33</v>
      </c>
      <c r="G368" s="19" t="s">
        <v>27</v>
      </c>
      <c r="H368" s="19">
        <v>43.79</v>
      </c>
      <c r="I368" s="19">
        <v>143.86000000000001</v>
      </c>
      <c r="J368" s="19">
        <v>3285.3</v>
      </c>
      <c r="K368" s="19" t="s">
        <v>40</v>
      </c>
      <c r="L368" s="19" t="s">
        <v>29</v>
      </c>
      <c r="M368" s="19">
        <v>250.01</v>
      </c>
      <c r="N368" s="19">
        <v>938.54</v>
      </c>
      <c r="O368" s="19" t="s">
        <v>52</v>
      </c>
      <c r="P368" s="21">
        <v>32.090000000000003</v>
      </c>
    </row>
    <row r="369" spans="1:16" x14ac:dyDescent="0.3">
      <c r="A369" s="17" t="s">
        <v>434</v>
      </c>
      <c r="B369" s="18">
        <v>43966</v>
      </c>
      <c r="C369" s="19">
        <v>2020</v>
      </c>
      <c r="D369" s="20" t="s">
        <v>36</v>
      </c>
      <c r="E369" s="19" t="s">
        <v>37</v>
      </c>
      <c r="F369" s="19" t="s">
        <v>19</v>
      </c>
      <c r="G369" s="19" t="s">
        <v>27</v>
      </c>
      <c r="H369" s="19">
        <v>72.34</v>
      </c>
      <c r="I369" s="19">
        <v>413.21</v>
      </c>
      <c r="J369" s="19">
        <v>5712</v>
      </c>
      <c r="K369" s="19" t="s">
        <v>34</v>
      </c>
      <c r="L369" s="19" t="s">
        <v>41</v>
      </c>
      <c r="M369" s="19">
        <v>112.74</v>
      </c>
      <c r="N369" s="19">
        <v>1058.5</v>
      </c>
      <c r="O369" s="19" t="s">
        <v>23</v>
      </c>
      <c r="P369" s="21">
        <v>25.98</v>
      </c>
    </row>
    <row r="370" spans="1:16" x14ac:dyDescent="0.3">
      <c r="A370" s="17" t="s">
        <v>435</v>
      </c>
      <c r="B370" s="18">
        <v>42049</v>
      </c>
      <c r="C370" s="19">
        <v>2014</v>
      </c>
      <c r="D370" s="20" t="s">
        <v>25</v>
      </c>
      <c r="E370" s="19" t="s">
        <v>26</v>
      </c>
      <c r="F370" s="19" t="s">
        <v>38</v>
      </c>
      <c r="G370" s="19" t="s">
        <v>39</v>
      </c>
      <c r="H370" s="19">
        <v>10.53</v>
      </c>
      <c r="I370" s="19">
        <v>57.57</v>
      </c>
      <c r="J370" s="19">
        <v>5467.56</v>
      </c>
      <c r="K370" s="19" t="s">
        <v>34</v>
      </c>
      <c r="L370" s="19" t="s">
        <v>22</v>
      </c>
      <c r="M370" s="19">
        <v>140.24</v>
      </c>
      <c r="N370" s="19">
        <v>760.35</v>
      </c>
      <c r="O370" s="19" t="s">
        <v>70</v>
      </c>
      <c r="P370" s="21">
        <v>25.16</v>
      </c>
    </row>
    <row r="371" spans="1:16" x14ac:dyDescent="0.3">
      <c r="A371" s="17" t="s">
        <v>436</v>
      </c>
      <c r="B371" s="18">
        <v>43741</v>
      </c>
      <c r="C371" s="19">
        <v>2019</v>
      </c>
      <c r="D371" s="20" t="s">
        <v>31</v>
      </c>
      <c r="E371" s="19" t="s">
        <v>117</v>
      </c>
      <c r="F371" s="19" t="s">
        <v>33</v>
      </c>
      <c r="G371" s="19" t="s">
        <v>27</v>
      </c>
      <c r="H371" s="19">
        <v>58.01</v>
      </c>
      <c r="I371" s="19">
        <v>283.95</v>
      </c>
      <c r="J371" s="19">
        <v>4894.79</v>
      </c>
      <c r="K371" s="19" t="s">
        <v>40</v>
      </c>
      <c r="L371" s="19" t="s">
        <v>29</v>
      </c>
      <c r="M371" s="19">
        <v>294.83999999999997</v>
      </c>
      <c r="N371" s="19">
        <v>484.61</v>
      </c>
      <c r="O371" s="19" t="s">
        <v>70</v>
      </c>
      <c r="P371" s="21">
        <v>30.1</v>
      </c>
    </row>
    <row r="372" spans="1:16" x14ac:dyDescent="0.3">
      <c r="A372" s="17" t="s">
        <v>437</v>
      </c>
      <c r="B372" s="18">
        <v>43916</v>
      </c>
      <c r="C372" s="19">
        <v>2019</v>
      </c>
      <c r="D372" s="20" t="s">
        <v>25</v>
      </c>
      <c r="E372" s="19" t="s">
        <v>87</v>
      </c>
      <c r="F372" s="19" t="s">
        <v>38</v>
      </c>
      <c r="G372" s="19" t="s">
        <v>46</v>
      </c>
      <c r="H372" s="19">
        <v>63.54</v>
      </c>
      <c r="I372" s="19">
        <v>118.76</v>
      </c>
      <c r="J372" s="19">
        <v>1869.09</v>
      </c>
      <c r="K372" s="19" t="s">
        <v>40</v>
      </c>
      <c r="L372" s="19" t="s">
        <v>29</v>
      </c>
      <c r="M372" s="19">
        <v>210.15</v>
      </c>
      <c r="N372" s="19">
        <v>1128.57</v>
      </c>
      <c r="O372" s="19" t="s">
        <v>52</v>
      </c>
      <c r="P372" s="21">
        <v>29.47</v>
      </c>
    </row>
    <row r="373" spans="1:16" x14ac:dyDescent="0.3">
      <c r="A373" s="17" t="s">
        <v>438</v>
      </c>
      <c r="B373" s="18">
        <v>40808</v>
      </c>
      <c r="C373" s="19">
        <v>2011</v>
      </c>
      <c r="D373" s="20" t="s">
        <v>44</v>
      </c>
      <c r="E373" s="19" t="s">
        <v>45</v>
      </c>
      <c r="F373" s="19" t="s">
        <v>33</v>
      </c>
      <c r="G373" s="19" t="s">
        <v>20</v>
      </c>
      <c r="H373" s="19">
        <v>23.59</v>
      </c>
      <c r="I373" s="19">
        <v>68.44</v>
      </c>
      <c r="J373" s="19">
        <v>2901.27</v>
      </c>
      <c r="K373" s="19" t="s">
        <v>34</v>
      </c>
      <c r="L373" s="19" t="s">
        <v>49</v>
      </c>
      <c r="M373" s="19">
        <v>227.61</v>
      </c>
      <c r="N373" s="19">
        <v>805.38</v>
      </c>
      <c r="O373" s="19" t="s">
        <v>52</v>
      </c>
      <c r="P373" s="21">
        <v>24.07</v>
      </c>
    </row>
    <row r="374" spans="1:16" x14ac:dyDescent="0.3">
      <c r="A374" s="17" t="s">
        <v>439</v>
      </c>
      <c r="B374" s="18">
        <v>43506</v>
      </c>
      <c r="C374" s="19">
        <v>2018</v>
      </c>
      <c r="D374" s="20" t="s">
        <v>17</v>
      </c>
      <c r="E374" s="19" t="s">
        <v>54</v>
      </c>
      <c r="F374" s="19" t="s">
        <v>38</v>
      </c>
      <c r="G374" s="19" t="s">
        <v>46</v>
      </c>
      <c r="H374" s="19">
        <v>17.559999999999999</v>
      </c>
      <c r="I374" s="19">
        <v>107.56</v>
      </c>
      <c r="J374" s="19">
        <v>6125.27</v>
      </c>
      <c r="K374" s="19" t="s">
        <v>40</v>
      </c>
      <c r="L374" s="19" t="s">
        <v>22</v>
      </c>
      <c r="M374" s="19">
        <v>231.94</v>
      </c>
      <c r="N374" s="19">
        <v>862.02</v>
      </c>
      <c r="O374" s="19" t="s">
        <v>23</v>
      </c>
      <c r="P374" s="21">
        <v>23.16</v>
      </c>
    </row>
    <row r="375" spans="1:16" x14ac:dyDescent="0.3">
      <c r="A375" s="17" t="s">
        <v>440</v>
      </c>
      <c r="B375" s="18">
        <v>42882</v>
      </c>
      <c r="C375" s="19">
        <v>2017</v>
      </c>
      <c r="D375" s="20" t="s">
        <v>25</v>
      </c>
      <c r="E375" s="19" t="s">
        <v>26</v>
      </c>
      <c r="F375" s="19" t="s">
        <v>19</v>
      </c>
      <c r="G375" s="19" t="s">
        <v>64</v>
      </c>
      <c r="H375" s="19">
        <v>3.61</v>
      </c>
      <c r="I375" s="19">
        <v>12.21</v>
      </c>
      <c r="J375" s="19">
        <v>3382.08</v>
      </c>
      <c r="K375" s="19" t="s">
        <v>21</v>
      </c>
      <c r="L375" s="19" t="s">
        <v>29</v>
      </c>
      <c r="M375" s="19">
        <v>75.98</v>
      </c>
      <c r="N375" s="19">
        <v>818.1</v>
      </c>
      <c r="O375" s="19" t="s">
        <v>23</v>
      </c>
      <c r="P375" s="21">
        <v>29.82</v>
      </c>
    </row>
    <row r="376" spans="1:16" x14ac:dyDescent="0.3">
      <c r="A376" s="17" t="s">
        <v>441</v>
      </c>
      <c r="B376" s="18">
        <v>41394</v>
      </c>
      <c r="C376" s="19">
        <v>2013</v>
      </c>
      <c r="D376" s="20" t="s">
        <v>31</v>
      </c>
      <c r="E376" s="19" t="s">
        <v>82</v>
      </c>
      <c r="F376" s="19" t="s">
        <v>19</v>
      </c>
      <c r="G376" s="19" t="s">
        <v>20</v>
      </c>
      <c r="H376" s="19">
        <v>44.87</v>
      </c>
      <c r="I376" s="19">
        <v>78.900000000000006</v>
      </c>
      <c r="J376" s="19">
        <v>1758.47</v>
      </c>
      <c r="K376" s="19" t="s">
        <v>40</v>
      </c>
      <c r="L376" s="19" t="s">
        <v>47</v>
      </c>
      <c r="M376" s="19">
        <v>57.14</v>
      </c>
      <c r="N376" s="19">
        <v>863.55</v>
      </c>
      <c r="O376" s="19" t="s">
        <v>70</v>
      </c>
      <c r="P376" s="21">
        <v>32.96</v>
      </c>
    </row>
    <row r="377" spans="1:16" x14ac:dyDescent="0.3">
      <c r="A377" s="17" t="s">
        <v>442</v>
      </c>
      <c r="B377" s="18">
        <v>43023</v>
      </c>
      <c r="C377" s="19">
        <v>2017</v>
      </c>
      <c r="D377" s="20" t="s">
        <v>31</v>
      </c>
      <c r="E377" s="19" t="s">
        <v>117</v>
      </c>
      <c r="F377" s="19" t="s">
        <v>33</v>
      </c>
      <c r="G377" s="19" t="s">
        <v>39</v>
      </c>
      <c r="H377" s="19">
        <v>54.39</v>
      </c>
      <c r="I377" s="19">
        <v>247.2</v>
      </c>
      <c r="J377" s="19">
        <v>4544.99</v>
      </c>
      <c r="K377" s="19" t="s">
        <v>28</v>
      </c>
      <c r="L377" s="19" t="s">
        <v>49</v>
      </c>
      <c r="M377" s="19">
        <v>207.76</v>
      </c>
      <c r="N377" s="19">
        <v>835.85</v>
      </c>
      <c r="O377" s="19" t="s">
        <v>61</v>
      </c>
      <c r="P377" s="21">
        <v>26.52</v>
      </c>
    </row>
    <row r="378" spans="1:16" x14ac:dyDescent="0.3">
      <c r="A378" s="17" t="s">
        <v>443</v>
      </c>
      <c r="B378" s="18">
        <v>43286</v>
      </c>
      <c r="C378" s="19">
        <v>2018</v>
      </c>
      <c r="D378" s="20" t="s">
        <v>31</v>
      </c>
      <c r="E378" s="19" t="s">
        <v>32</v>
      </c>
      <c r="F378" s="19" t="s">
        <v>33</v>
      </c>
      <c r="G378" s="19" t="s">
        <v>64</v>
      </c>
      <c r="H378" s="19">
        <v>44.74</v>
      </c>
      <c r="I378" s="19">
        <v>142.93</v>
      </c>
      <c r="J378" s="19">
        <v>3194.7</v>
      </c>
      <c r="K378" s="19" t="s">
        <v>34</v>
      </c>
      <c r="L378" s="19" t="s">
        <v>49</v>
      </c>
      <c r="M378" s="19">
        <v>88.93</v>
      </c>
      <c r="N378" s="19">
        <v>210.56</v>
      </c>
      <c r="O378" s="19" t="s">
        <v>61</v>
      </c>
      <c r="P378" s="21">
        <v>32.229999999999997</v>
      </c>
    </row>
    <row r="379" spans="1:16" x14ac:dyDescent="0.3">
      <c r="A379" s="17" t="s">
        <v>444</v>
      </c>
      <c r="B379" s="18">
        <v>43253</v>
      </c>
      <c r="C379" s="19">
        <v>2018</v>
      </c>
      <c r="D379" s="20" t="s">
        <v>31</v>
      </c>
      <c r="E379" s="19" t="s">
        <v>32</v>
      </c>
      <c r="F379" s="19" t="s">
        <v>33</v>
      </c>
      <c r="G379" s="19" t="s">
        <v>39</v>
      </c>
      <c r="H379" s="19">
        <v>92.29</v>
      </c>
      <c r="I379" s="19">
        <v>616.66</v>
      </c>
      <c r="J379" s="19">
        <v>6681.75</v>
      </c>
      <c r="K379" s="19" t="s">
        <v>28</v>
      </c>
      <c r="L379" s="19" t="s">
        <v>47</v>
      </c>
      <c r="M379" s="19">
        <v>124.9</v>
      </c>
      <c r="N379" s="19">
        <v>965.87</v>
      </c>
      <c r="O379" s="19" t="s">
        <v>70</v>
      </c>
      <c r="P379" s="21">
        <v>28.96</v>
      </c>
    </row>
    <row r="380" spans="1:16" x14ac:dyDescent="0.3">
      <c r="A380" s="17" t="s">
        <v>445</v>
      </c>
      <c r="B380" s="18">
        <v>42476</v>
      </c>
      <c r="C380" s="19">
        <v>2016</v>
      </c>
      <c r="D380" s="20" t="s">
        <v>31</v>
      </c>
      <c r="E380" s="19" t="s">
        <v>82</v>
      </c>
      <c r="F380" s="19" t="s">
        <v>19</v>
      </c>
      <c r="G380" s="19" t="s">
        <v>46</v>
      </c>
      <c r="H380" s="19">
        <v>40.08</v>
      </c>
      <c r="I380" s="19">
        <v>79.34</v>
      </c>
      <c r="J380" s="19">
        <v>1979.62</v>
      </c>
      <c r="K380" s="19" t="s">
        <v>28</v>
      </c>
      <c r="L380" s="19" t="s">
        <v>47</v>
      </c>
      <c r="M380" s="19">
        <v>257.11</v>
      </c>
      <c r="N380" s="19">
        <v>420.59</v>
      </c>
      <c r="O380" s="19" t="s">
        <v>23</v>
      </c>
      <c r="P380" s="21">
        <v>26.33</v>
      </c>
    </row>
    <row r="381" spans="1:16" x14ac:dyDescent="0.3">
      <c r="A381" s="17" t="s">
        <v>446</v>
      </c>
      <c r="B381" s="18">
        <v>44659</v>
      </c>
      <c r="C381" s="19">
        <v>2022</v>
      </c>
      <c r="D381" s="20" t="s">
        <v>44</v>
      </c>
      <c r="E381" s="19" t="s">
        <v>67</v>
      </c>
      <c r="F381" s="19" t="s">
        <v>19</v>
      </c>
      <c r="G381" s="19" t="s">
        <v>39</v>
      </c>
      <c r="H381" s="19">
        <v>27.91</v>
      </c>
      <c r="I381" s="19">
        <v>136.5</v>
      </c>
      <c r="J381" s="19">
        <v>4890.74</v>
      </c>
      <c r="K381" s="19" t="s">
        <v>34</v>
      </c>
      <c r="L381" s="19" t="s">
        <v>29</v>
      </c>
      <c r="M381" s="19">
        <v>153.22999999999999</v>
      </c>
      <c r="N381" s="19">
        <v>1053.48</v>
      </c>
      <c r="O381" s="19" t="s">
        <v>42</v>
      </c>
      <c r="P381" s="21">
        <v>22.05</v>
      </c>
    </row>
    <row r="382" spans="1:16" x14ac:dyDescent="0.3">
      <c r="A382" s="17" t="s">
        <v>447</v>
      </c>
      <c r="B382" s="18">
        <v>41748</v>
      </c>
      <c r="C382" s="19">
        <v>2014</v>
      </c>
      <c r="D382" s="20" t="s">
        <v>59</v>
      </c>
      <c r="E382" s="19" t="s">
        <v>63</v>
      </c>
      <c r="F382" s="19" t="s">
        <v>19</v>
      </c>
      <c r="G382" s="19" t="s">
        <v>27</v>
      </c>
      <c r="H382" s="19">
        <v>49.71</v>
      </c>
      <c r="I382" s="19">
        <v>145.35</v>
      </c>
      <c r="J382" s="19">
        <v>2923.86</v>
      </c>
      <c r="K382" s="19" t="s">
        <v>40</v>
      </c>
      <c r="L382" s="19" t="s">
        <v>49</v>
      </c>
      <c r="M382" s="19">
        <v>62.41</v>
      </c>
      <c r="N382" s="19">
        <v>734.97</v>
      </c>
      <c r="O382" s="19" t="s">
        <v>42</v>
      </c>
      <c r="P382" s="21">
        <v>34.58</v>
      </c>
    </row>
    <row r="383" spans="1:16" x14ac:dyDescent="0.3">
      <c r="A383" s="17" t="s">
        <v>448</v>
      </c>
      <c r="B383" s="18">
        <v>42855</v>
      </c>
      <c r="C383" s="19">
        <v>2017</v>
      </c>
      <c r="D383" s="20" t="s">
        <v>103</v>
      </c>
      <c r="E383" s="19" t="s">
        <v>228</v>
      </c>
      <c r="F383" s="19" t="s">
        <v>19</v>
      </c>
      <c r="G383" s="19" t="s">
        <v>64</v>
      </c>
      <c r="H383" s="19">
        <v>24.05</v>
      </c>
      <c r="I383" s="19">
        <v>45.79</v>
      </c>
      <c r="J383" s="19">
        <v>1904.1</v>
      </c>
      <c r="K383" s="19" t="s">
        <v>28</v>
      </c>
      <c r="L383" s="19" t="s">
        <v>22</v>
      </c>
      <c r="M383" s="19">
        <v>104.3</v>
      </c>
      <c r="N383" s="19">
        <v>620.24</v>
      </c>
      <c r="O383" s="19" t="s">
        <v>52</v>
      </c>
      <c r="P383" s="21">
        <v>34.97</v>
      </c>
    </row>
    <row r="384" spans="1:16" x14ac:dyDescent="0.3">
      <c r="A384" s="17" t="s">
        <v>449</v>
      </c>
      <c r="B384" s="18">
        <v>44716</v>
      </c>
      <c r="C384" s="19">
        <v>2022</v>
      </c>
      <c r="D384" s="20" t="s">
        <v>31</v>
      </c>
      <c r="E384" s="19" t="s">
        <v>82</v>
      </c>
      <c r="F384" s="19" t="s">
        <v>33</v>
      </c>
      <c r="G384" s="19" t="s">
        <v>64</v>
      </c>
      <c r="H384" s="19">
        <v>27.38</v>
      </c>
      <c r="I384" s="19">
        <v>91.85</v>
      </c>
      <c r="J384" s="19">
        <v>3354.53</v>
      </c>
      <c r="K384" s="19" t="s">
        <v>28</v>
      </c>
      <c r="L384" s="19" t="s">
        <v>22</v>
      </c>
      <c r="M384" s="19">
        <v>95.4</v>
      </c>
      <c r="N384" s="19">
        <v>1095.7</v>
      </c>
      <c r="O384" s="19" t="s">
        <v>70</v>
      </c>
      <c r="P384" s="21">
        <v>32.26</v>
      </c>
    </row>
    <row r="385" spans="1:16" x14ac:dyDescent="0.3">
      <c r="A385" s="17" t="s">
        <v>450</v>
      </c>
      <c r="B385" s="18">
        <v>41632</v>
      </c>
      <c r="C385" s="19">
        <v>2013</v>
      </c>
      <c r="D385" s="20" t="s">
        <v>44</v>
      </c>
      <c r="E385" s="19" t="s">
        <v>67</v>
      </c>
      <c r="F385" s="19" t="s">
        <v>38</v>
      </c>
      <c r="G385" s="19" t="s">
        <v>46</v>
      </c>
      <c r="H385" s="19">
        <v>25.47</v>
      </c>
      <c r="I385" s="19">
        <v>177.45</v>
      </c>
      <c r="J385" s="19">
        <v>6967.21</v>
      </c>
      <c r="K385" s="19" t="s">
        <v>40</v>
      </c>
      <c r="L385" s="19" t="s">
        <v>29</v>
      </c>
      <c r="M385" s="19">
        <v>165.21</v>
      </c>
      <c r="N385" s="19">
        <v>971</v>
      </c>
      <c r="O385" s="19" t="s">
        <v>61</v>
      </c>
      <c r="P385" s="21">
        <v>29.99</v>
      </c>
    </row>
    <row r="386" spans="1:16" x14ac:dyDescent="0.3">
      <c r="A386" s="17" t="s">
        <v>451</v>
      </c>
      <c r="B386" s="18">
        <v>41957</v>
      </c>
      <c r="C386" s="19">
        <v>2014</v>
      </c>
      <c r="D386" s="20" t="s">
        <v>36</v>
      </c>
      <c r="E386" s="19" t="s">
        <v>77</v>
      </c>
      <c r="F386" s="19" t="s">
        <v>38</v>
      </c>
      <c r="G386" s="19" t="s">
        <v>56</v>
      </c>
      <c r="H386" s="19">
        <v>63.29</v>
      </c>
      <c r="I386" s="19">
        <v>79.31</v>
      </c>
      <c r="J386" s="19">
        <v>1253.1199999999999</v>
      </c>
      <c r="K386" s="19" t="s">
        <v>21</v>
      </c>
      <c r="L386" s="19" t="s">
        <v>41</v>
      </c>
      <c r="M386" s="19">
        <v>113.33</v>
      </c>
      <c r="N386" s="19">
        <v>838.52</v>
      </c>
      <c r="O386" s="19" t="s">
        <v>42</v>
      </c>
      <c r="P386" s="21">
        <v>25.41</v>
      </c>
    </row>
    <row r="387" spans="1:16" x14ac:dyDescent="0.3">
      <c r="A387" s="17" t="s">
        <v>452</v>
      </c>
      <c r="B387" s="18">
        <v>44257</v>
      </c>
      <c r="C387" s="19">
        <v>2020</v>
      </c>
      <c r="D387" s="20" t="s">
        <v>25</v>
      </c>
      <c r="E387" s="19" t="s">
        <v>26</v>
      </c>
      <c r="F387" s="19" t="s">
        <v>38</v>
      </c>
      <c r="G387" s="19" t="s">
        <v>20</v>
      </c>
      <c r="H387" s="19">
        <v>2.4900000000000002</v>
      </c>
      <c r="I387" s="19">
        <v>14.36</v>
      </c>
      <c r="J387" s="19">
        <v>5766.34</v>
      </c>
      <c r="K387" s="19" t="s">
        <v>21</v>
      </c>
      <c r="L387" s="19" t="s">
        <v>47</v>
      </c>
      <c r="M387" s="19">
        <v>148.94999999999999</v>
      </c>
      <c r="N387" s="19">
        <v>443.09</v>
      </c>
      <c r="O387" s="19" t="s">
        <v>23</v>
      </c>
      <c r="P387" s="21">
        <v>28.72</v>
      </c>
    </row>
    <row r="388" spans="1:16" x14ac:dyDescent="0.3">
      <c r="A388" s="17" t="s">
        <v>453</v>
      </c>
      <c r="B388" s="18">
        <v>44752</v>
      </c>
      <c r="C388" s="19">
        <v>2022</v>
      </c>
      <c r="D388" s="20" t="s">
        <v>103</v>
      </c>
      <c r="E388" s="19" t="s">
        <v>107</v>
      </c>
      <c r="F388" s="19" t="s">
        <v>33</v>
      </c>
      <c r="G388" s="19" t="s">
        <v>56</v>
      </c>
      <c r="H388" s="19">
        <v>16.61</v>
      </c>
      <c r="I388" s="19">
        <v>25.72</v>
      </c>
      <c r="J388" s="19">
        <v>1548.41</v>
      </c>
      <c r="K388" s="19" t="s">
        <v>34</v>
      </c>
      <c r="L388" s="19" t="s">
        <v>47</v>
      </c>
      <c r="M388" s="19">
        <v>282.70999999999998</v>
      </c>
      <c r="N388" s="19">
        <v>1196.97</v>
      </c>
      <c r="O388" s="19" t="s">
        <v>23</v>
      </c>
      <c r="P388" s="21">
        <v>20.9</v>
      </c>
    </row>
    <row r="389" spans="1:16" x14ac:dyDescent="0.3">
      <c r="A389" s="17" t="s">
        <v>454</v>
      </c>
      <c r="B389" s="18">
        <v>41310</v>
      </c>
      <c r="C389" s="19">
        <v>2012</v>
      </c>
      <c r="D389" s="20" t="s">
        <v>44</v>
      </c>
      <c r="E389" s="19" t="s">
        <v>45</v>
      </c>
      <c r="F389" s="19" t="s">
        <v>38</v>
      </c>
      <c r="G389" s="19" t="s">
        <v>56</v>
      </c>
      <c r="H389" s="19">
        <v>32.36</v>
      </c>
      <c r="I389" s="19">
        <v>140.77000000000001</v>
      </c>
      <c r="J389" s="19">
        <v>4350.1000000000004</v>
      </c>
      <c r="K389" s="19" t="s">
        <v>34</v>
      </c>
      <c r="L389" s="19" t="s">
        <v>49</v>
      </c>
      <c r="M389" s="19">
        <v>251.38</v>
      </c>
      <c r="N389" s="19">
        <v>638.72</v>
      </c>
      <c r="O389" s="19" t="s">
        <v>42</v>
      </c>
      <c r="P389" s="21">
        <v>20.32</v>
      </c>
    </row>
    <row r="390" spans="1:16" x14ac:dyDescent="0.3">
      <c r="A390" s="17" t="s">
        <v>455</v>
      </c>
      <c r="B390" s="18">
        <v>41910</v>
      </c>
      <c r="C390" s="19">
        <v>2014</v>
      </c>
      <c r="D390" s="20" t="s">
        <v>17</v>
      </c>
      <c r="E390" s="19" t="s">
        <v>18</v>
      </c>
      <c r="F390" s="19" t="s">
        <v>33</v>
      </c>
      <c r="G390" s="19" t="s">
        <v>46</v>
      </c>
      <c r="H390" s="19">
        <v>70.959999999999994</v>
      </c>
      <c r="I390" s="19">
        <v>308.97000000000003</v>
      </c>
      <c r="J390" s="19">
        <v>4354.1499999999996</v>
      </c>
      <c r="K390" s="19" t="s">
        <v>28</v>
      </c>
      <c r="L390" s="19" t="s">
        <v>49</v>
      </c>
      <c r="M390" s="19">
        <v>97.44</v>
      </c>
      <c r="N390" s="19">
        <v>386.63</v>
      </c>
      <c r="O390" s="19" t="s">
        <v>70</v>
      </c>
      <c r="P390" s="21">
        <v>24.86</v>
      </c>
    </row>
    <row r="391" spans="1:16" x14ac:dyDescent="0.3">
      <c r="A391" s="17" t="s">
        <v>456</v>
      </c>
      <c r="B391" s="18">
        <v>43299</v>
      </c>
      <c r="C391" s="19">
        <v>2018</v>
      </c>
      <c r="D391" s="20" t="s">
        <v>44</v>
      </c>
      <c r="E391" s="19" t="s">
        <v>67</v>
      </c>
      <c r="F391" s="19" t="s">
        <v>33</v>
      </c>
      <c r="G391" s="19" t="s">
        <v>64</v>
      </c>
      <c r="H391" s="19">
        <v>53.58</v>
      </c>
      <c r="I391" s="19">
        <v>198.05</v>
      </c>
      <c r="J391" s="19">
        <v>3696.31</v>
      </c>
      <c r="K391" s="19" t="s">
        <v>34</v>
      </c>
      <c r="L391" s="19" t="s">
        <v>22</v>
      </c>
      <c r="M391" s="19">
        <v>185.4</v>
      </c>
      <c r="N391" s="19">
        <v>654.08000000000004</v>
      </c>
      <c r="O391" s="19" t="s">
        <v>61</v>
      </c>
      <c r="P391" s="21">
        <v>25.69</v>
      </c>
    </row>
    <row r="392" spans="1:16" x14ac:dyDescent="0.3">
      <c r="A392" s="17" t="s">
        <v>457</v>
      </c>
      <c r="B392" s="18">
        <v>44670</v>
      </c>
      <c r="C392" s="19">
        <v>2022</v>
      </c>
      <c r="D392" s="20" t="s">
        <v>59</v>
      </c>
      <c r="E392" s="19" t="s">
        <v>63</v>
      </c>
      <c r="F392" s="19" t="s">
        <v>19</v>
      </c>
      <c r="G392" s="19" t="s">
        <v>56</v>
      </c>
      <c r="H392" s="19">
        <v>32.75</v>
      </c>
      <c r="I392" s="19">
        <v>45.2</v>
      </c>
      <c r="J392" s="19">
        <v>1380.05</v>
      </c>
      <c r="K392" s="19" t="s">
        <v>28</v>
      </c>
      <c r="L392" s="19" t="s">
        <v>49</v>
      </c>
      <c r="M392" s="19">
        <v>97.47</v>
      </c>
      <c r="N392" s="19">
        <v>883.22</v>
      </c>
      <c r="O392" s="19" t="s">
        <v>61</v>
      </c>
      <c r="P392" s="21">
        <v>22.31</v>
      </c>
    </row>
    <row r="393" spans="1:16" x14ac:dyDescent="0.3">
      <c r="A393" s="17" t="s">
        <v>458</v>
      </c>
      <c r="B393" s="18">
        <v>42181</v>
      </c>
      <c r="C393" s="19">
        <v>2015</v>
      </c>
      <c r="D393" s="20" t="s">
        <v>36</v>
      </c>
      <c r="E393" s="19" t="s">
        <v>77</v>
      </c>
      <c r="F393" s="19" t="s">
        <v>33</v>
      </c>
      <c r="G393" s="19" t="s">
        <v>64</v>
      </c>
      <c r="H393" s="19">
        <v>52.8</v>
      </c>
      <c r="I393" s="19">
        <v>73.92</v>
      </c>
      <c r="J393" s="19">
        <v>1400.08</v>
      </c>
      <c r="K393" s="19" t="s">
        <v>40</v>
      </c>
      <c r="L393" s="19" t="s">
        <v>22</v>
      </c>
      <c r="M393" s="19">
        <v>94.66</v>
      </c>
      <c r="N393" s="19">
        <v>231.27</v>
      </c>
      <c r="O393" s="19" t="s">
        <v>23</v>
      </c>
      <c r="P393" s="21">
        <v>27.28</v>
      </c>
    </row>
    <row r="394" spans="1:16" x14ac:dyDescent="0.3">
      <c r="A394" s="17" t="s">
        <v>459</v>
      </c>
      <c r="B394" s="18">
        <v>42519</v>
      </c>
      <c r="C394" s="19">
        <v>2016</v>
      </c>
      <c r="D394" s="20" t="s">
        <v>59</v>
      </c>
      <c r="E394" s="19" t="s">
        <v>93</v>
      </c>
      <c r="F394" s="19" t="s">
        <v>19</v>
      </c>
      <c r="G394" s="19" t="s">
        <v>46</v>
      </c>
      <c r="H394" s="19">
        <v>53.06</v>
      </c>
      <c r="I394" s="19">
        <v>276.33</v>
      </c>
      <c r="J394" s="19">
        <v>5207.88</v>
      </c>
      <c r="K394" s="19" t="s">
        <v>34</v>
      </c>
      <c r="L394" s="19" t="s">
        <v>41</v>
      </c>
      <c r="M394" s="19">
        <v>62.27</v>
      </c>
      <c r="N394" s="19">
        <v>420.72</v>
      </c>
      <c r="O394" s="19" t="s">
        <v>23</v>
      </c>
      <c r="P394" s="21">
        <v>20.2</v>
      </c>
    </row>
    <row r="395" spans="1:16" x14ac:dyDescent="0.3">
      <c r="A395" s="17" t="s">
        <v>460</v>
      </c>
      <c r="B395" s="18">
        <v>40916</v>
      </c>
      <c r="C395" s="19">
        <v>2011</v>
      </c>
      <c r="D395" s="20" t="s">
        <v>17</v>
      </c>
      <c r="E395" s="19" t="s">
        <v>72</v>
      </c>
      <c r="F395" s="19" t="s">
        <v>38</v>
      </c>
      <c r="G395" s="19" t="s">
        <v>39</v>
      </c>
      <c r="H395" s="19">
        <v>7.01</v>
      </c>
      <c r="I395" s="19">
        <v>30.48</v>
      </c>
      <c r="J395" s="19">
        <v>4348.12</v>
      </c>
      <c r="K395" s="19" t="s">
        <v>28</v>
      </c>
      <c r="L395" s="19" t="s">
        <v>47</v>
      </c>
      <c r="M395" s="19">
        <v>255.51</v>
      </c>
      <c r="N395" s="19">
        <v>994.25</v>
      </c>
      <c r="O395" s="19" t="s">
        <v>23</v>
      </c>
      <c r="P395" s="21">
        <v>32.35</v>
      </c>
    </row>
    <row r="396" spans="1:16" x14ac:dyDescent="0.3">
      <c r="A396" s="17" t="s">
        <v>461</v>
      </c>
      <c r="B396" s="18">
        <v>40982</v>
      </c>
      <c r="C396" s="19">
        <v>2011</v>
      </c>
      <c r="D396" s="20" t="s">
        <v>25</v>
      </c>
      <c r="E396" s="19" t="s">
        <v>69</v>
      </c>
      <c r="F396" s="19" t="s">
        <v>38</v>
      </c>
      <c r="G396" s="19" t="s">
        <v>64</v>
      </c>
      <c r="H396" s="19">
        <v>94.52</v>
      </c>
      <c r="I396" s="19">
        <v>639.29</v>
      </c>
      <c r="J396" s="19">
        <v>6763.52</v>
      </c>
      <c r="K396" s="19" t="s">
        <v>21</v>
      </c>
      <c r="L396" s="19" t="s">
        <v>41</v>
      </c>
      <c r="M396" s="19">
        <v>75.31</v>
      </c>
      <c r="N396" s="19">
        <v>431.02</v>
      </c>
      <c r="O396" s="19" t="s">
        <v>52</v>
      </c>
      <c r="P396" s="21">
        <v>22.84</v>
      </c>
    </row>
    <row r="397" spans="1:16" x14ac:dyDescent="0.3">
      <c r="A397" s="17" t="s">
        <v>462</v>
      </c>
      <c r="B397" s="18">
        <v>41010</v>
      </c>
      <c r="C397" s="19">
        <v>2012</v>
      </c>
      <c r="D397" s="20" t="s">
        <v>59</v>
      </c>
      <c r="E397" s="19" t="s">
        <v>93</v>
      </c>
      <c r="F397" s="19" t="s">
        <v>19</v>
      </c>
      <c r="G397" s="19" t="s">
        <v>39</v>
      </c>
      <c r="H397" s="19">
        <v>56.26</v>
      </c>
      <c r="I397" s="19">
        <v>308.12</v>
      </c>
      <c r="J397" s="19">
        <v>5476.65</v>
      </c>
      <c r="K397" s="19" t="s">
        <v>34</v>
      </c>
      <c r="L397" s="19" t="s">
        <v>41</v>
      </c>
      <c r="M397" s="19">
        <v>218.62</v>
      </c>
      <c r="N397" s="19">
        <v>902.55</v>
      </c>
      <c r="O397" s="19" t="s">
        <v>52</v>
      </c>
      <c r="P397" s="21">
        <v>33.24</v>
      </c>
    </row>
    <row r="398" spans="1:16" x14ac:dyDescent="0.3">
      <c r="A398" s="17" t="s">
        <v>463</v>
      </c>
      <c r="B398" s="18">
        <v>43488</v>
      </c>
      <c r="C398" s="19">
        <v>2018</v>
      </c>
      <c r="D398" s="20" t="s">
        <v>59</v>
      </c>
      <c r="E398" s="19" t="s">
        <v>63</v>
      </c>
      <c r="F398" s="19" t="s">
        <v>38</v>
      </c>
      <c r="G398" s="19" t="s">
        <v>39</v>
      </c>
      <c r="H398" s="19">
        <v>16.66</v>
      </c>
      <c r="I398" s="19">
        <v>116.46</v>
      </c>
      <c r="J398" s="19">
        <v>6990.6</v>
      </c>
      <c r="K398" s="19" t="s">
        <v>28</v>
      </c>
      <c r="L398" s="19" t="s">
        <v>49</v>
      </c>
      <c r="M398" s="19">
        <v>283.38</v>
      </c>
      <c r="N398" s="19">
        <v>1102.48</v>
      </c>
      <c r="O398" s="19" t="s">
        <v>61</v>
      </c>
      <c r="P398" s="21">
        <v>34.869999999999997</v>
      </c>
    </row>
    <row r="399" spans="1:16" x14ac:dyDescent="0.3">
      <c r="A399" s="17" t="s">
        <v>464</v>
      </c>
      <c r="B399" s="18">
        <v>42489</v>
      </c>
      <c r="C399" s="19">
        <v>2016</v>
      </c>
      <c r="D399" s="20" t="s">
        <v>36</v>
      </c>
      <c r="E399" s="19" t="s">
        <v>77</v>
      </c>
      <c r="F399" s="19" t="s">
        <v>19</v>
      </c>
      <c r="G399" s="19" t="s">
        <v>20</v>
      </c>
      <c r="H399" s="19">
        <v>61.23</v>
      </c>
      <c r="I399" s="19">
        <v>268.12</v>
      </c>
      <c r="J399" s="19">
        <v>4378.87</v>
      </c>
      <c r="K399" s="19" t="s">
        <v>40</v>
      </c>
      <c r="L399" s="19" t="s">
        <v>29</v>
      </c>
      <c r="M399" s="19">
        <v>143.77000000000001</v>
      </c>
      <c r="N399" s="19">
        <v>750.24</v>
      </c>
      <c r="O399" s="19" t="s">
        <v>70</v>
      </c>
      <c r="P399" s="21">
        <v>25.4</v>
      </c>
    </row>
    <row r="400" spans="1:16" x14ac:dyDescent="0.3">
      <c r="A400" s="17" t="s">
        <v>465</v>
      </c>
      <c r="B400" s="18">
        <v>44353</v>
      </c>
      <c r="C400" s="19">
        <v>2021</v>
      </c>
      <c r="D400" s="20" t="s">
        <v>36</v>
      </c>
      <c r="E400" s="19" t="s">
        <v>37</v>
      </c>
      <c r="F400" s="19" t="s">
        <v>33</v>
      </c>
      <c r="G400" s="19" t="s">
        <v>20</v>
      </c>
      <c r="H400" s="19">
        <v>59.98</v>
      </c>
      <c r="I400" s="19">
        <v>246.26</v>
      </c>
      <c r="J400" s="19">
        <v>4105.66</v>
      </c>
      <c r="K400" s="19" t="s">
        <v>34</v>
      </c>
      <c r="L400" s="19" t="s">
        <v>49</v>
      </c>
      <c r="M400" s="19">
        <v>51.64</v>
      </c>
      <c r="N400" s="19">
        <v>1184.3900000000001</v>
      </c>
      <c r="O400" s="19" t="s">
        <v>42</v>
      </c>
      <c r="P400" s="21">
        <v>32.840000000000003</v>
      </c>
    </row>
    <row r="401" spans="1:16" x14ac:dyDescent="0.3">
      <c r="A401" s="17" t="s">
        <v>466</v>
      </c>
      <c r="B401" s="18">
        <v>43207</v>
      </c>
      <c r="C401" s="19">
        <v>2018</v>
      </c>
      <c r="D401" s="20" t="s">
        <v>59</v>
      </c>
      <c r="E401" s="19" t="s">
        <v>93</v>
      </c>
      <c r="F401" s="19" t="s">
        <v>19</v>
      </c>
      <c r="G401" s="19" t="s">
        <v>27</v>
      </c>
      <c r="H401" s="19">
        <v>16.32</v>
      </c>
      <c r="I401" s="19">
        <v>20.02</v>
      </c>
      <c r="J401" s="19">
        <v>1226.42</v>
      </c>
      <c r="K401" s="19" t="s">
        <v>34</v>
      </c>
      <c r="L401" s="19" t="s">
        <v>49</v>
      </c>
      <c r="M401" s="19">
        <v>89.03</v>
      </c>
      <c r="N401" s="19">
        <v>464.99</v>
      </c>
      <c r="O401" s="19" t="s">
        <v>61</v>
      </c>
      <c r="P401" s="21">
        <v>23.75</v>
      </c>
    </row>
    <row r="402" spans="1:16" x14ac:dyDescent="0.3">
      <c r="A402" s="17" t="s">
        <v>467</v>
      </c>
      <c r="B402" s="18">
        <v>42467</v>
      </c>
      <c r="C402" s="19">
        <v>2016</v>
      </c>
      <c r="D402" s="20" t="s">
        <v>25</v>
      </c>
      <c r="E402" s="19" t="s">
        <v>69</v>
      </c>
      <c r="F402" s="19" t="s">
        <v>19</v>
      </c>
      <c r="G402" s="19" t="s">
        <v>56</v>
      </c>
      <c r="H402" s="19">
        <v>73.69</v>
      </c>
      <c r="I402" s="19">
        <v>393.61</v>
      </c>
      <c r="J402" s="19">
        <v>5341.48</v>
      </c>
      <c r="K402" s="19" t="s">
        <v>28</v>
      </c>
      <c r="L402" s="19" t="s">
        <v>47</v>
      </c>
      <c r="M402" s="19">
        <v>93.23</v>
      </c>
      <c r="N402" s="19">
        <v>1025.71</v>
      </c>
      <c r="O402" s="19" t="s">
        <v>61</v>
      </c>
      <c r="P402" s="21">
        <v>32.29</v>
      </c>
    </row>
    <row r="403" spans="1:16" x14ac:dyDescent="0.3">
      <c r="A403" s="17" t="s">
        <v>468</v>
      </c>
      <c r="B403" s="18">
        <v>40276</v>
      </c>
      <c r="C403" s="19">
        <v>2010</v>
      </c>
      <c r="D403" s="20" t="s">
        <v>17</v>
      </c>
      <c r="E403" s="19" t="s">
        <v>72</v>
      </c>
      <c r="F403" s="19" t="s">
        <v>19</v>
      </c>
      <c r="G403" s="19" t="s">
        <v>27</v>
      </c>
      <c r="H403" s="19">
        <v>38.770000000000003</v>
      </c>
      <c r="I403" s="19">
        <v>220.24</v>
      </c>
      <c r="J403" s="19">
        <v>5680.73</v>
      </c>
      <c r="K403" s="19" t="s">
        <v>34</v>
      </c>
      <c r="L403" s="19" t="s">
        <v>41</v>
      </c>
      <c r="M403" s="19">
        <v>136.97999999999999</v>
      </c>
      <c r="N403" s="19">
        <v>1017.14</v>
      </c>
      <c r="O403" s="19" t="s">
        <v>52</v>
      </c>
      <c r="P403" s="21">
        <v>33.950000000000003</v>
      </c>
    </row>
    <row r="404" spans="1:16" x14ac:dyDescent="0.3">
      <c r="A404" s="17" t="s">
        <v>469</v>
      </c>
      <c r="B404" s="18">
        <v>43745</v>
      </c>
      <c r="C404" s="19">
        <v>2019</v>
      </c>
      <c r="D404" s="20" t="s">
        <v>17</v>
      </c>
      <c r="E404" s="19" t="s">
        <v>54</v>
      </c>
      <c r="F404" s="19" t="s">
        <v>33</v>
      </c>
      <c r="G404" s="19" t="s">
        <v>39</v>
      </c>
      <c r="H404" s="19">
        <v>77.959999999999994</v>
      </c>
      <c r="I404" s="19">
        <v>256.87</v>
      </c>
      <c r="J404" s="19">
        <v>3294.92</v>
      </c>
      <c r="K404" s="19" t="s">
        <v>34</v>
      </c>
      <c r="L404" s="19" t="s">
        <v>41</v>
      </c>
      <c r="M404" s="19">
        <v>181.1</v>
      </c>
      <c r="N404" s="19">
        <v>519.32000000000005</v>
      </c>
      <c r="O404" s="19" t="s">
        <v>61</v>
      </c>
      <c r="P404" s="21">
        <v>22.24</v>
      </c>
    </row>
    <row r="405" spans="1:16" x14ac:dyDescent="0.3">
      <c r="A405" s="17" t="s">
        <v>470</v>
      </c>
      <c r="B405" s="18">
        <v>43943</v>
      </c>
      <c r="C405" s="19">
        <v>2020</v>
      </c>
      <c r="D405" s="20" t="s">
        <v>103</v>
      </c>
      <c r="E405" s="19" t="s">
        <v>104</v>
      </c>
      <c r="F405" s="19" t="s">
        <v>19</v>
      </c>
      <c r="G405" s="19" t="s">
        <v>46</v>
      </c>
      <c r="H405" s="19">
        <v>97.13</v>
      </c>
      <c r="I405" s="19">
        <v>535.87</v>
      </c>
      <c r="J405" s="19">
        <v>5517.04</v>
      </c>
      <c r="K405" s="19" t="s">
        <v>21</v>
      </c>
      <c r="L405" s="19" t="s">
        <v>22</v>
      </c>
      <c r="M405" s="19">
        <v>105.52</v>
      </c>
      <c r="N405" s="19">
        <v>489.78</v>
      </c>
      <c r="O405" s="19" t="s">
        <v>52</v>
      </c>
      <c r="P405" s="21">
        <v>22.22</v>
      </c>
    </row>
    <row r="406" spans="1:16" x14ac:dyDescent="0.3">
      <c r="A406" s="17" t="s">
        <v>471</v>
      </c>
      <c r="B406" s="18">
        <v>44398</v>
      </c>
      <c r="C406" s="19">
        <v>2021</v>
      </c>
      <c r="D406" s="20" t="s">
        <v>36</v>
      </c>
      <c r="E406" s="19" t="s">
        <v>77</v>
      </c>
      <c r="F406" s="19" t="s">
        <v>33</v>
      </c>
      <c r="G406" s="19" t="s">
        <v>27</v>
      </c>
      <c r="H406" s="19">
        <v>40.520000000000003</v>
      </c>
      <c r="I406" s="19">
        <v>61.2</v>
      </c>
      <c r="J406" s="19">
        <v>1510.47</v>
      </c>
      <c r="K406" s="19" t="s">
        <v>28</v>
      </c>
      <c r="L406" s="19" t="s">
        <v>29</v>
      </c>
      <c r="M406" s="19">
        <v>243.46</v>
      </c>
      <c r="N406" s="19">
        <v>330.38</v>
      </c>
      <c r="O406" s="19" t="s">
        <v>42</v>
      </c>
      <c r="P406" s="21">
        <v>27.21</v>
      </c>
    </row>
    <row r="407" spans="1:16" x14ac:dyDescent="0.3">
      <c r="A407" s="17" t="s">
        <v>472</v>
      </c>
      <c r="B407" s="18">
        <v>43764</v>
      </c>
      <c r="C407" s="19">
        <v>2019</v>
      </c>
      <c r="D407" s="20" t="s">
        <v>36</v>
      </c>
      <c r="E407" s="19" t="s">
        <v>77</v>
      </c>
      <c r="F407" s="19" t="s">
        <v>33</v>
      </c>
      <c r="G407" s="19" t="s">
        <v>27</v>
      </c>
      <c r="H407" s="19">
        <v>61.98</v>
      </c>
      <c r="I407" s="19">
        <v>335.56</v>
      </c>
      <c r="J407" s="19">
        <v>5414.01</v>
      </c>
      <c r="K407" s="19" t="s">
        <v>40</v>
      </c>
      <c r="L407" s="19" t="s">
        <v>22</v>
      </c>
      <c r="M407" s="19">
        <v>110.58</v>
      </c>
      <c r="N407" s="19">
        <v>466.26</v>
      </c>
      <c r="O407" s="19" t="s">
        <v>52</v>
      </c>
      <c r="P407" s="21">
        <v>24.85</v>
      </c>
    </row>
    <row r="408" spans="1:16" x14ac:dyDescent="0.3">
      <c r="A408" s="17" t="s">
        <v>473</v>
      </c>
      <c r="B408" s="18">
        <v>42788</v>
      </c>
      <c r="C408" s="19">
        <v>2016</v>
      </c>
      <c r="D408" s="20" t="s">
        <v>25</v>
      </c>
      <c r="E408" s="19" t="s">
        <v>69</v>
      </c>
      <c r="F408" s="19" t="s">
        <v>38</v>
      </c>
      <c r="G408" s="19" t="s">
        <v>20</v>
      </c>
      <c r="H408" s="19">
        <v>35.479999999999997</v>
      </c>
      <c r="I408" s="19">
        <v>103.76</v>
      </c>
      <c r="J408" s="19">
        <v>2924.43</v>
      </c>
      <c r="K408" s="19" t="s">
        <v>21</v>
      </c>
      <c r="L408" s="19" t="s">
        <v>47</v>
      </c>
      <c r="M408" s="19">
        <v>242.42</v>
      </c>
      <c r="N408" s="19">
        <v>369.26</v>
      </c>
      <c r="O408" s="19" t="s">
        <v>70</v>
      </c>
      <c r="P408" s="21">
        <v>29.24</v>
      </c>
    </row>
    <row r="409" spans="1:16" x14ac:dyDescent="0.3">
      <c r="A409" s="17" t="s">
        <v>474</v>
      </c>
      <c r="B409" s="18">
        <v>40403</v>
      </c>
      <c r="C409" s="19">
        <v>2010</v>
      </c>
      <c r="D409" s="20" t="s">
        <v>103</v>
      </c>
      <c r="E409" s="19" t="s">
        <v>107</v>
      </c>
      <c r="F409" s="19" t="s">
        <v>33</v>
      </c>
      <c r="G409" s="19" t="s">
        <v>56</v>
      </c>
      <c r="H409" s="19">
        <v>68.849999999999994</v>
      </c>
      <c r="I409" s="19">
        <v>133.29</v>
      </c>
      <c r="J409" s="19">
        <v>1935.95</v>
      </c>
      <c r="K409" s="19" t="s">
        <v>21</v>
      </c>
      <c r="L409" s="19" t="s">
        <v>22</v>
      </c>
      <c r="M409" s="19">
        <v>78.09</v>
      </c>
      <c r="N409" s="19">
        <v>254.54</v>
      </c>
      <c r="O409" s="19" t="s">
        <v>61</v>
      </c>
      <c r="P409" s="21">
        <v>33.9</v>
      </c>
    </row>
    <row r="410" spans="1:16" x14ac:dyDescent="0.3">
      <c r="A410" s="17" t="s">
        <v>475</v>
      </c>
      <c r="B410" s="18">
        <v>44779</v>
      </c>
      <c r="C410" s="19">
        <v>2022</v>
      </c>
      <c r="D410" s="20" t="s">
        <v>31</v>
      </c>
      <c r="E410" s="19" t="s">
        <v>117</v>
      </c>
      <c r="F410" s="19" t="s">
        <v>33</v>
      </c>
      <c r="G410" s="19" t="s">
        <v>20</v>
      </c>
      <c r="H410" s="19">
        <v>45.56</v>
      </c>
      <c r="I410" s="19">
        <v>51.78</v>
      </c>
      <c r="J410" s="19">
        <v>1136.49</v>
      </c>
      <c r="K410" s="19" t="s">
        <v>40</v>
      </c>
      <c r="L410" s="19" t="s">
        <v>47</v>
      </c>
      <c r="M410" s="19">
        <v>235</v>
      </c>
      <c r="N410" s="19">
        <v>411.88</v>
      </c>
      <c r="O410" s="19" t="s">
        <v>61</v>
      </c>
      <c r="P410" s="21">
        <v>27.85</v>
      </c>
    </row>
    <row r="411" spans="1:16" x14ac:dyDescent="0.3">
      <c r="A411" s="17" t="s">
        <v>476</v>
      </c>
      <c r="B411" s="18">
        <v>44417</v>
      </c>
      <c r="C411" s="19">
        <v>2021</v>
      </c>
      <c r="D411" s="20" t="s">
        <v>36</v>
      </c>
      <c r="E411" s="19" t="s">
        <v>77</v>
      </c>
      <c r="F411" s="19" t="s">
        <v>33</v>
      </c>
      <c r="G411" s="19" t="s">
        <v>39</v>
      </c>
      <c r="H411" s="19">
        <v>70.180000000000007</v>
      </c>
      <c r="I411" s="19">
        <v>77.92</v>
      </c>
      <c r="J411" s="19">
        <v>1110.33</v>
      </c>
      <c r="K411" s="19" t="s">
        <v>21</v>
      </c>
      <c r="L411" s="19" t="s">
        <v>22</v>
      </c>
      <c r="M411" s="19">
        <v>113.86</v>
      </c>
      <c r="N411" s="19">
        <v>260.11</v>
      </c>
      <c r="O411" s="19" t="s">
        <v>42</v>
      </c>
      <c r="P411" s="21">
        <v>31.84</v>
      </c>
    </row>
    <row r="412" spans="1:16" x14ac:dyDescent="0.3">
      <c r="A412" s="17" t="s">
        <v>477</v>
      </c>
      <c r="B412" s="18">
        <v>40427</v>
      </c>
      <c r="C412" s="19">
        <v>2010</v>
      </c>
      <c r="D412" s="20" t="s">
        <v>36</v>
      </c>
      <c r="E412" s="19" t="s">
        <v>77</v>
      </c>
      <c r="F412" s="19" t="s">
        <v>33</v>
      </c>
      <c r="G412" s="19" t="s">
        <v>46</v>
      </c>
      <c r="H412" s="19">
        <v>66.38</v>
      </c>
      <c r="I412" s="19">
        <v>330.43</v>
      </c>
      <c r="J412" s="19">
        <v>4977.8900000000003</v>
      </c>
      <c r="K412" s="19" t="s">
        <v>34</v>
      </c>
      <c r="L412" s="19" t="s">
        <v>47</v>
      </c>
      <c r="M412" s="19">
        <v>266.07</v>
      </c>
      <c r="N412" s="19">
        <v>219.08</v>
      </c>
      <c r="O412" s="19" t="s">
        <v>52</v>
      </c>
      <c r="P412" s="21">
        <v>23.47</v>
      </c>
    </row>
    <row r="413" spans="1:16" x14ac:dyDescent="0.3">
      <c r="A413" s="17" t="s">
        <v>478</v>
      </c>
      <c r="B413" s="18">
        <v>42444</v>
      </c>
      <c r="C413" s="19">
        <v>2015</v>
      </c>
      <c r="D413" s="20" t="s">
        <v>17</v>
      </c>
      <c r="E413" s="19" t="s">
        <v>18</v>
      </c>
      <c r="F413" s="19" t="s">
        <v>38</v>
      </c>
      <c r="G413" s="19" t="s">
        <v>27</v>
      </c>
      <c r="H413" s="19">
        <v>53.62</v>
      </c>
      <c r="I413" s="19">
        <v>113.59</v>
      </c>
      <c r="J413" s="19">
        <v>2118.5</v>
      </c>
      <c r="K413" s="19" t="s">
        <v>28</v>
      </c>
      <c r="L413" s="19" t="s">
        <v>49</v>
      </c>
      <c r="M413" s="19">
        <v>190.17</v>
      </c>
      <c r="N413" s="19">
        <v>912.47</v>
      </c>
      <c r="O413" s="19" t="s">
        <v>23</v>
      </c>
      <c r="P413" s="21">
        <v>23.71</v>
      </c>
    </row>
    <row r="414" spans="1:16" x14ac:dyDescent="0.3">
      <c r="A414" s="17" t="s">
        <v>479</v>
      </c>
      <c r="B414" s="18">
        <v>42464</v>
      </c>
      <c r="C414" s="19">
        <v>2016</v>
      </c>
      <c r="D414" s="20" t="s">
        <v>31</v>
      </c>
      <c r="E414" s="19" t="s">
        <v>32</v>
      </c>
      <c r="F414" s="19" t="s">
        <v>19</v>
      </c>
      <c r="G414" s="19" t="s">
        <v>56</v>
      </c>
      <c r="H414" s="19">
        <v>2.82</v>
      </c>
      <c r="I414" s="19">
        <v>14.4</v>
      </c>
      <c r="J414" s="19">
        <v>5105.87</v>
      </c>
      <c r="K414" s="19" t="s">
        <v>34</v>
      </c>
      <c r="L414" s="19" t="s">
        <v>49</v>
      </c>
      <c r="M414" s="19">
        <v>206.31</v>
      </c>
      <c r="N414" s="19">
        <v>436.2</v>
      </c>
      <c r="O414" s="19" t="s">
        <v>61</v>
      </c>
      <c r="P414" s="21">
        <v>24.14</v>
      </c>
    </row>
    <row r="415" spans="1:16" x14ac:dyDescent="0.3">
      <c r="A415" s="17" t="s">
        <v>480</v>
      </c>
      <c r="B415" s="18">
        <v>43463</v>
      </c>
      <c r="C415" s="19">
        <v>2018</v>
      </c>
      <c r="D415" s="20" t="s">
        <v>36</v>
      </c>
      <c r="E415" s="19" t="s">
        <v>37</v>
      </c>
      <c r="F415" s="19" t="s">
        <v>38</v>
      </c>
      <c r="G415" s="19" t="s">
        <v>56</v>
      </c>
      <c r="H415" s="19">
        <v>16.02</v>
      </c>
      <c r="I415" s="19">
        <v>102.26</v>
      </c>
      <c r="J415" s="19">
        <v>6383.05</v>
      </c>
      <c r="K415" s="19" t="s">
        <v>40</v>
      </c>
      <c r="L415" s="19" t="s">
        <v>29</v>
      </c>
      <c r="M415" s="19">
        <v>71.95</v>
      </c>
      <c r="N415" s="19">
        <v>582.21</v>
      </c>
      <c r="O415" s="19" t="s">
        <v>61</v>
      </c>
      <c r="P415" s="21">
        <v>33.090000000000003</v>
      </c>
    </row>
    <row r="416" spans="1:16" x14ac:dyDescent="0.3">
      <c r="A416" s="17" t="s">
        <v>481</v>
      </c>
      <c r="B416" s="18">
        <v>41265</v>
      </c>
      <c r="C416" s="19">
        <v>2012</v>
      </c>
      <c r="D416" s="20" t="s">
        <v>103</v>
      </c>
      <c r="E416" s="19" t="s">
        <v>228</v>
      </c>
      <c r="F416" s="19" t="s">
        <v>38</v>
      </c>
      <c r="G416" s="19" t="s">
        <v>20</v>
      </c>
      <c r="H416" s="19">
        <v>91.06</v>
      </c>
      <c r="I416" s="19">
        <v>270.97000000000003</v>
      </c>
      <c r="J416" s="19">
        <v>2975.71</v>
      </c>
      <c r="K416" s="19" t="s">
        <v>40</v>
      </c>
      <c r="L416" s="19" t="s">
        <v>41</v>
      </c>
      <c r="M416" s="19">
        <v>101.69</v>
      </c>
      <c r="N416" s="19">
        <v>338.58</v>
      </c>
      <c r="O416" s="19" t="s">
        <v>61</v>
      </c>
      <c r="P416" s="21">
        <v>30.26</v>
      </c>
    </row>
    <row r="417" spans="1:16" x14ac:dyDescent="0.3">
      <c r="A417" s="17" t="s">
        <v>482</v>
      </c>
      <c r="B417" s="18">
        <v>44322</v>
      </c>
      <c r="C417" s="19">
        <v>2021</v>
      </c>
      <c r="D417" s="20" t="s">
        <v>31</v>
      </c>
      <c r="E417" s="19" t="s">
        <v>117</v>
      </c>
      <c r="F417" s="19" t="s">
        <v>19</v>
      </c>
      <c r="G417" s="19" t="s">
        <v>56</v>
      </c>
      <c r="H417" s="19">
        <v>43.58</v>
      </c>
      <c r="I417" s="19">
        <v>281.27</v>
      </c>
      <c r="J417" s="19">
        <v>6454.01</v>
      </c>
      <c r="K417" s="19" t="s">
        <v>40</v>
      </c>
      <c r="L417" s="19" t="s">
        <v>47</v>
      </c>
      <c r="M417" s="19">
        <v>214.06</v>
      </c>
      <c r="N417" s="19">
        <v>764.84</v>
      </c>
      <c r="O417" s="19" t="s">
        <v>42</v>
      </c>
      <c r="P417" s="21">
        <v>24.76</v>
      </c>
    </row>
    <row r="418" spans="1:16" x14ac:dyDescent="0.3">
      <c r="A418" s="17" t="s">
        <v>483</v>
      </c>
      <c r="B418" s="18">
        <v>41262</v>
      </c>
      <c r="C418" s="19">
        <v>2012</v>
      </c>
      <c r="D418" s="20" t="s">
        <v>17</v>
      </c>
      <c r="E418" s="19" t="s">
        <v>18</v>
      </c>
      <c r="F418" s="19" t="s">
        <v>38</v>
      </c>
      <c r="G418" s="19" t="s">
        <v>56</v>
      </c>
      <c r="H418" s="19">
        <v>72.98</v>
      </c>
      <c r="I418" s="19">
        <v>408.15</v>
      </c>
      <c r="J418" s="19">
        <v>5592.61</v>
      </c>
      <c r="K418" s="19" t="s">
        <v>28</v>
      </c>
      <c r="L418" s="19" t="s">
        <v>22</v>
      </c>
      <c r="M418" s="19">
        <v>290.3</v>
      </c>
      <c r="N418" s="19">
        <v>503.35</v>
      </c>
      <c r="O418" s="19" t="s">
        <v>70</v>
      </c>
      <c r="P418" s="21">
        <v>22.28</v>
      </c>
    </row>
    <row r="419" spans="1:16" x14ac:dyDescent="0.3">
      <c r="A419" s="17" t="s">
        <v>484</v>
      </c>
      <c r="B419" s="18">
        <v>40313</v>
      </c>
      <c r="C419" s="19">
        <v>2010</v>
      </c>
      <c r="D419" s="20" t="s">
        <v>103</v>
      </c>
      <c r="E419" s="19" t="s">
        <v>104</v>
      </c>
      <c r="F419" s="19" t="s">
        <v>19</v>
      </c>
      <c r="G419" s="19" t="s">
        <v>27</v>
      </c>
      <c r="H419" s="19">
        <v>27.42</v>
      </c>
      <c r="I419" s="19">
        <v>120.71</v>
      </c>
      <c r="J419" s="19">
        <v>4402.26</v>
      </c>
      <c r="K419" s="19" t="s">
        <v>40</v>
      </c>
      <c r="L419" s="19" t="s">
        <v>29</v>
      </c>
      <c r="M419" s="19">
        <v>199.09</v>
      </c>
      <c r="N419" s="19">
        <v>430.91</v>
      </c>
      <c r="O419" s="19" t="s">
        <v>23</v>
      </c>
      <c r="P419" s="21">
        <v>25.39</v>
      </c>
    </row>
    <row r="420" spans="1:16" x14ac:dyDescent="0.3">
      <c r="A420" s="17" t="s">
        <v>485</v>
      </c>
      <c r="B420" s="18">
        <v>43874</v>
      </c>
      <c r="C420" s="19">
        <v>2019</v>
      </c>
      <c r="D420" s="20" t="s">
        <v>103</v>
      </c>
      <c r="E420" s="19" t="s">
        <v>228</v>
      </c>
      <c r="F420" s="19" t="s">
        <v>38</v>
      </c>
      <c r="G420" s="19" t="s">
        <v>39</v>
      </c>
      <c r="H420" s="19">
        <v>65.31</v>
      </c>
      <c r="I420" s="19">
        <v>137.4</v>
      </c>
      <c r="J420" s="19">
        <v>2103.86</v>
      </c>
      <c r="K420" s="19" t="s">
        <v>28</v>
      </c>
      <c r="L420" s="19" t="s">
        <v>22</v>
      </c>
      <c r="M420" s="19">
        <v>172.86</v>
      </c>
      <c r="N420" s="19">
        <v>337.51</v>
      </c>
      <c r="O420" s="19" t="s">
        <v>42</v>
      </c>
      <c r="P420" s="21">
        <v>23.39</v>
      </c>
    </row>
    <row r="421" spans="1:16" x14ac:dyDescent="0.3">
      <c r="A421" s="17" t="s">
        <v>486</v>
      </c>
      <c r="B421" s="18">
        <v>41396</v>
      </c>
      <c r="C421" s="19">
        <v>2013</v>
      </c>
      <c r="D421" s="20" t="s">
        <v>31</v>
      </c>
      <c r="E421" s="19" t="s">
        <v>32</v>
      </c>
      <c r="F421" s="19" t="s">
        <v>19</v>
      </c>
      <c r="G421" s="19" t="s">
        <v>39</v>
      </c>
      <c r="H421" s="19">
        <v>98.84</v>
      </c>
      <c r="I421" s="19">
        <v>548.23</v>
      </c>
      <c r="J421" s="19">
        <v>5546.66</v>
      </c>
      <c r="K421" s="19" t="s">
        <v>21</v>
      </c>
      <c r="L421" s="19" t="s">
        <v>49</v>
      </c>
      <c r="M421" s="19">
        <v>94.27</v>
      </c>
      <c r="N421" s="19">
        <v>1154.7</v>
      </c>
      <c r="O421" s="19" t="s">
        <v>52</v>
      </c>
      <c r="P421" s="21">
        <v>33.01</v>
      </c>
    </row>
    <row r="422" spans="1:16" x14ac:dyDescent="0.3">
      <c r="A422" s="17" t="s">
        <v>487</v>
      </c>
      <c r="B422" s="18">
        <v>41713</v>
      </c>
      <c r="C422" s="19">
        <v>2013</v>
      </c>
      <c r="D422" s="20" t="s">
        <v>44</v>
      </c>
      <c r="E422" s="19" t="s">
        <v>99</v>
      </c>
      <c r="F422" s="19" t="s">
        <v>38</v>
      </c>
      <c r="G422" s="19" t="s">
        <v>46</v>
      </c>
      <c r="H422" s="19">
        <v>77.849999999999994</v>
      </c>
      <c r="I422" s="19">
        <v>361.81</v>
      </c>
      <c r="J422" s="19">
        <v>4647.58</v>
      </c>
      <c r="K422" s="19" t="s">
        <v>28</v>
      </c>
      <c r="L422" s="19" t="s">
        <v>22</v>
      </c>
      <c r="M422" s="19">
        <v>230.05</v>
      </c>
      <c r="N422" s="19">
        <v>594.15</v>
      </c>
      <c r="O422" s="19" t="s">
        <v>61</v>
      </c>
      <c r="P422" s="21">
        <v>28.91</v>
      </c>
    </row>
    <row r="423" spans="1:16" x14ac:dyDescent="0.3">
      <c r="A423" s="17" t="s">
        <v>488</v>
      </c>
      <c r="B423" s="18">
        <v>43052</v>
      </c>
      <c r="C423" s="19">
        <v>2017</v>
      </c>
      <c r="D423" s="20" t="s">
        <v>59</v>
      </c>
      <c r="E423" s="19" t="s">
        <v>60</v>
      </c>
      <c r="F423" s="19" t="s">
        <v>38</v>
      </c>
      <c r="G423" s="19" t="s">
        <v>64</v>
      </c>
      <c r="H423" s="19">
        <v>87.9</v>
      </c>
      <c r="I423" s="19">
        <v>217.49</v>
      </c>
      <c r="J423" s="19">
        <v>2474.33</v>
      </c>
      <c r="K423" s="19" t="s">
        <v>28</v>
      </c>
      <c r="L423" s="19" t="s">
        <v>41</v>
      </c>
      <c r="M423" s="19">
        <v>295.95999999999998</v>
      </c>
      <c r="N423" s="19">
        <v>239.25</v>
      </c>
      <c r="O423" s="19" t="s">
        <v>52</v>
      </c>
      <c r="P423" s="21">
        <v>27.74</v>
      </c>
    </row>
    <row r="424" spans="1:16" x14ac:dyDescent="0.3">
      <c r="A424" s="17" t="s">
        <v>489</v>
      </c>
      <c r="B424" s="18">
        <v>42790</v>
      </c>
      <c r="C424" s="19">
        <v>2016</v>
      </c>
      <c r="D424" s="20" t="s">
        <v>31</v>
      </c>
      <c r="E424" s="19" t="s">
        <v>32</v>
      </c>
      <c r="F424" s="19" t="s">
        <v>38</v>
      </c>
      <c r="G424" s="19" t="s">
        <v>20</v>
      </c>
      <c r="H424" s="19">
        <v>46.67</v>
      </c>
      <c r="I424" s="19">
        <v>164.97</v>
      </c>
      <c r="J424" s="19">
        <v>3534.77</v>
      </c>
      <c r="K424" s="19" t="s">
        <v>21</v>
      </c>
      <c r="L424" s="19" t="s">
        <v>22</v>
      </c>
      <c r="M424" s="19">
        <v>222.49</v>
      </c>
      <c r="N424" s="19">
        <v>1103.68</v>
      </c>
      <c r="O424" s="19" t="s">
        <v>52</v>
      </c>
      <c r="P424" s="21">
        <v>32.450000000000003</v>
      </c>
    </row>
    <row r="425" spans="1:16" x14ac:dyDescent="0.3">
      <c r="A425" s="17" t="s">
        <v>490</v>
      </c>
      <c r="B425" s="18">
        <v>40846</v>
      </c>
      <c r="C425" s="19">
        <v>2011</v>
      </c>
      <c r="D425" s="20" t="s">
        <v>17</v>
      </c>
      <c r="E425" s="19" t="s">
        <v>54</v>
      </c>
      <c r="F425" s="19" t="s">
        <v>33</v>
      </c>
      <c r="G425" s="19" t="s">
        <v>27</v>
      </c>
      <c r="H425" s="19">
        <v>93.85</v>
      </c>
      <c r="I425" s="19">
        <v>485.83</v>
      </c>
      <c r="J425" s="19">
        <v>5176.68</v>
      </c>
      <c r="K425" s="19" t="s">
        <v>40</v>
      </c>
      <c r="L425" s="19" t="s">
        <v>41</v>
      </c>
      <c r="M425" s="19">
        <v>148.27000000000001</v>
      </c>
      <c r="N425" s="19">
        <v>523.46</v>
      </c>
      <c r="O425" s="19" t="s">
        <v>23</v>
      </c>
      <c r="P425" s="21">
        <v>22.68</v>
      </c>
    </row>
    <row r="426" spans="1:16" x14ac:dyDescent="0.3">
      <c r="A426" s="17" t="s">
        <v>491</v>
      </c>
      <c r="B426" s="18">
        <v>42036</v>
      </c>
      <c r="C426" s="19">
        <v>2014</v>
      </c>
      <c r="D426" s="20" t="s">
        <v>36</v>
      </c>
      <c r="E426" s="19" t="s">
        <v>37</v>
      </c>
      <c r="F426" s="19" t="s">
        <v>38</v>
      </c>
      <c r="G426" s="19" t="s">
        <v>39</v>
      </c>
      <c r="H426" s="19">
        <v>65.209999999999994</v>
      </c>
      <c r="I426" s="19">
        <v>343.58</v>
      </c>
      <c r="J426" s="19">
        <v>5268.82</v>
      </c>
      <c r="K426" s="19" t="s">
        <v>40</v>
      </c>
      <c r="L426" s="19" t="s">
        <v>22</v>
      </c>
      <c r="M426" s="19">
        <v>229.59</v>
      </c>
      <c r="N426" s="19">
        <v>323.54000000000002</v>
      </c>
      <c r="O426" s="19" t="s">
        <v>23</v>
      </c>
      <c r="P426" s="21">
        <v>30.59</v>
      </c>
    </row>
    <row r="427" spans="1:16" x14ac:dyDescent="0.3">
      <c r="A427" s="17" t="s">
        <v>492</v>
      </c>
      <c r="B427" s="18">
        <v>42503</v>
      </c>
      <c r="C427" s="19">
        <v>2016</v>
      </c>
      <c r="D427" s="20" t="s">
        <v>59</v>
      </c>
      <c r="E427" s="19" t="s">
        <v>93</v>
      </c>
      <c r="F427" s="19" t="s">
        <v>19</v>
      </c>
      <c r="G427" s="19" t="s">
        <v>27</v>
      </c>
      <c r="H427" s="19">
        <v>61.6</v>
      </c>
      <c r="I427" s="19">
        <v>120.7</v>
      </c>
      <c r="J427" s="19">
        <v>1959.4</v>
      </c>
      <c r="K427" s="19" t="s">
        <v>28</v>
      </c>
      <c r="L427" s="19" t="s">
        <v>41</v>
      </c>
      <c r="M427" s="19">
        <v>60.98</v>
      </c>
      <c r="N427" s="19">
        <v>370.88</v>
      </c>
      <c r="O427" s="19" t="s">
        <v>70</v>
      </c>
      <c r="P427" s="21">
        <v>28.48</v>
      </c>
    </row>
    <row r="428" spans="1:16" x14ac:dyDescent="0.3">
      <c r="A428" s="17" t="s">
        <v>493</v>
      </c>
      <c r="B428" s="18">
        <v>41000</v>
      </c>
      <c r="C428" s="19">
        <v>2012</v>
      </c>
      <c r="D428" s="20" t="s">
        <v>103</v>
      </c>
      <c r="E428" s="19" t="s">
        <v>104</v>
      </c>
      <c r="F428" s="19" t="s">
        <v>19</v>
      </c>
      <c r="G428" s="19" t="s">
        <v>64</v>
      </c>
      <c r="H428" s="19">
        <v>42.54</v>
      </c>
      <c r="I428" s="19">
        <v>121.54</v>
      </c>
      <c r="J428" s="19">
        <v>2857.11</v>
      </c>
      <c r="K428" s="19" t="s">
        <v>28</v>
      </c>
      <c r="L428" s="19" t="s">
        <v>47</v>
      </c>
      <c r="M428" s="19">
        <v>122.2</v>
      </c>
      <c r="N428" s="19">
        <v>380.7</v>
      </c>
      <c r="O428" s="19" t="s">
        <v>42</v>
      </c>
      <c r="P428" s="21">
        <v>34.409999999999997</v>
      </c>
    </row>
    <row r="429" spans="1:16" x14ac:dyDescent="0.3">
      <c r="A429" s="17" t="s">
        <v>494</v>
      </c>
      <c r="B429" s="18">
        <v>40604</v>
      </c>
      <c r="C429" s="19">
        <v>2010</v>
      </c>
      <c r="D429" s="20" t="s">
        <v>44</v>
      </c>
      <c r="E429" s="19" t="s">
        <v>99</v>
      </c>
      <c r="F429" s="19" t="s">
        <v>38</v>
      </c>
      <c r="G429" s="19" t="s">
        <v>46</v>
      </c>
      <c r="H429" s="19">
        <v>85.69</v>
      </c>
      <c r="I429" s="19">
        <v>365.13</v>
      </c>
      <c r="J429" s="19">
        <v>4261.01</v>
      </c>
      <c r="K429" s="19" t="s">
        <v>21</v>
      </c>
      <c r="L429" s="19" t="s">
        <v>29</v>
      </c>
      <c r="M429" s="19">
        <v>202</v>
      </c>
      <c r="N429" s="19">
        <v>693.47</v>
      </c>
      <c r="O429" s="19" t="s">
        <v>42</v>
      </c>
      <c r="P429" s="21">
        <v>28.83</v>
      </c>
    </row>
    <row r="430" spans="1:16" x14ac:dyDescent="0.3">
      <c r="A430" s="17" t="s">
        <v>495</v>
      </c>
      <c r="B430" s="18">
        <v>40643</v>
      </c>
      <c r="C430" s="19">
        <v>2011</v>
      </c>
      <c r="D430" s="20" t="s">
        <v>36</v>
      </c>
      <c r="E430" s="19" t="s">
        <v>51</v>
      </c>
      <c r="F430" s="19" t="s">
        <v>19</v>
      </c>
      <c r="G430" s="19" t="s">
        <v>27</v>
      </c>
      <c r="H430" s="19">
        <v>1.65</v>
      </c>
      <c r="I430" s="19">
        <v>10.38</v>
      </c>
      <c r="J430" s="19">
        <v>6293.01</v>
      </c>
      <c r="K430" s="19" t="s">
        <v>34</v>
      </c>
      <c r="L430" s="19" t="s">
        <v>22</v>
      </c>
      <c r="M430" s="19">
        <v>204.94</v>
      </c>
      <c r="N430" s="19">
        <v>757.55</v>
      </c>
      <c r="O430" s="19" t="s">
        <v>42</v>
      </c>
      <c r="P430" s="21">
        <v>20.73</v>
      </c>
    </row>
    <row r="431" spans="1:16" x14ac:dyDescent="0.3">
      <c r="A431" s="17" t="s">
        <v>496</v>
      </c>
      <c r="B431" s="18">
        <v>40375</v>
      </c>
      <c r="C431" s="19">
        <v>2010</v>
      </c>
      <c r="D431" s="20" t="s">
        <v>17</v>
      </c>
      <c r="E431" s="19" t="s">
        <v>72</v>
      </c>
      <c r="F431" s="19" t="s">
        <v>33</v>
      </c>
      <c r="G431" s="19" t="s">
        <v>64</v>
      </c>
      <c r="H431" s="19">
        <v>67.03</v>
      </c>
      <c r="I431" s="19">
        <v>404.06</v>
      </c>
      <c r="J431" s="19">
        <v>6028.09</v>
      </c>
      <c r="K431" s="19" t="s">
        <v>34</v>
      </c>
      <c r="L431" s="19" t="s">
        <v>41</v>
      </c>
      <c r="M431" s="19">
        <v>132.78</v>
      </c>
      <c r="N431" s="19">
        <v>287.7</v>
      </c>
      <c r="O431" s="19" t="s">
        <v>23</v>
      </c>
      <c r="P431" s="21">
        <v>26.25</v>
      </c>
    </row>
    <row r="432" spans="1:16" x14ac:dyDescent="0.3">
      <c r="A432" s="17" t="s">
        <v>497</v>
      </c>
      <c r="B432" s="18">
        <v>43561</v>
      </c>
      <c r="C432" s="19">
        <v>2019</v>
      </c>
      <c r="D432" s="20" t="s">
        <v>17</v>
      </c>
      <c r="E432" s="19" t="s">
        <v>72</v>
      </c>
      <c r="F432" s="19" t="s">
        <v>19</v>
      </c>
      <c r="G432" s="19" t="s">
        <v>39</v>
      </c>
      <c r="H432" s="19">
        <v>70.28</v>
      </c>
      <c r="I432" s="19">
        <v>311.60000000000002</v>
      </c>
      <c r="J432" s="19">
        <v>4433.7</v>
      </c>
      <c r="K432" s="19" t="s">
        <v>40</v>
      </c>
      <c r="L432" s="19" t="s">
        <v>49</v>
      </c>
      <c r="M432" s="19">
        <v>291.57</v>
      </c>
      <c r="N432" s="19">
        <v>949.33</v>
      </c>
      <c r="O432" s="19" t="s">
        <v>70</v>
      </c>
      <c r="P432" s="21">
        <v>33.97</v>
      </c>
    </row>
    <row r="433" spans="1:16" x14ac:dyDescent="0.3">
      <c r="A433" s="17" t="s">
        <v>498</v>
      </c>
      <c r="B433" s="18">
        <v>42627</v>
      </c>
      <c r="C433" s="19">
        <v>2016</v>
      </c>
      <c r="D433" s="20" t="s">
        <v>31</v>
      </c>
      <c r="E433" s="19" t="s">
        <v>32</v>
      </c>
      <c r="F433" s="19" t="s">
        <v>33</v>
      </c>
      <c r="G433" s="19" t="s">
        <v>46</v>
      </c>
      <c r="H433" s="19">
        <v>84.49</v>
      </c>
      <c r="I433" s="19">
        <v>117.4</v>
      </c>
      <c r="J433" s="19">
        <v>1389.56</v>
      </c>
      <c r="K433" s="19" t="s">
        <v>28</v>
      </c>
      <c r="L433" s="19" t="s">
        <v>47</v>
      </c>
      <c r="M433" s="19">
        <v>83.64</v>
      </c>
      <c r="N433" s="19">
        <v>894.62</v>
      </c>
      <c r="O433" s="19" t="s">
        <v>70</v>
      </c>
      <c r="P433" s="21">
        <v>24.94</v>
      </c>
    </row>
    <row r="434" spans="1:16" x14ac:dyDescent="0.3">
      <c r="A434" s="17" t="s">
        <v>499</v>
      </c>
      <c r="B434" s="18">
        <v>41419</v>
      </c>
      <c r="C434" s="19">
        <v>2013</v>
      </c>
      <c r="D434" s="20" t="s">
        <v>103</v>
      </c>
      <c r="E434" s="19" t="s">
        <v>228</v>
      </c>
      <c r="F434" s="19" t="s">
        <v>19</v>
      </c>
      <c r="G434" s="19" t="s">
        <v>64</v>
      </c>
      <c r="H434" s="19">
        <v>11.82</v>
      </c>
      <c r="I434" s="19">
        <v>63.57</v>
      </c>
      <c r="J434" s="19">
        <v>5378.37</v>
      </c>
      <c r="K434" s="19" t="s">
        <v>21</v>
      </c>
      <c r="L434" s="19" t="s">
        <v>49</v>
      </c>
      <c r="M434" s="19">
        <v>170.92</v>
      </c>
      <c r="N434" s="19">
        <v>888.65</v>
      </c>
      <c r="O434" s="19" t="s">
        <v>70</v>
      </c>
      <c r="P434" s="21">
        <v>26.41</v>
      </c>
    </row>
    <row r="435" spans="1:16" x14ac:dyDescent="0.3">
      <c r="A435" s="17" t="s">
        <v>500</v>
      </c>
      <c r="B435" s="18">
        <v>43612</v>
      </c>
      <c r="C435" s="19">
        <v>2019</v>
      </c>
      <c r="D435" s="20" t="s">
        <v>31</v>
      </c>
      <c r="E435" s="19" t="s">
        <v>117</v>
      </c>
      <c r="F435" s="19" t="s">
        <v>19</v>
      </c>
      <c r="G435" s="19" t="s">
        <v>20</v>
      </c>
      <c r="H435" s="19">
        <v>92.78</v>
      </c>
      <c r="I435" s="19">
        <v>434.74</v>
      </c>
      <c r="J435" s="19">
        <v>4685.74</v>
      </c>
      <c r="K435" s="19" t="s">
        <v>28</v>
      </c>
      <c r="L435" s="19" t="s">
        <v>47</v>
      </c>
      <c r="M435" s="19">
        <v>179.93</v>
      </c>
      <c r="N435" s="19">
        <v>831.86</v>
      </c>
      <c r="O435" s="19" t="s">
        <v>52</v>
      </c>
      <c r="P435" s="21">
        <v>32.119999999999997</v>
      </c>
    </row>
    <row r="436" spans="1:16" x14ac:dyDescent="0.3">
      <c r="A436" s="17" t="s">
        <v>501</v>
      </c>
      <c r="B436" s="18">
        <v>41896</v>
      </c>
      <c r="C436" s="19">
        <v>2014</v>
      </c>
      <c r="D436" s="20" t="s">
        <v>103</v>
      </c>
      <c r="E436" s="19" t="s">
        <v>228</v>
      </c>
      <c r="F436" s="19" t="s">
        <v>33</v>
      </c>
      <c r="G436" s="19" t="s">
        <v>64</v>
      </c>
      <c r="H436" s="19">
        <v>12.7</v>
      </c>
      <c r="I436" s="19">
        <v>48.12</v>
      </c>
      <c r="J436" s="19">
        <v>3789.31</v>
      </c>
      <c r="K436" s="19" t="s">
        <v>21</v>
      </c>
      <c r="L436" s="19" t="s">
        <v>22</v>
      </c>
      <c r="M436" s="19">
        <v>234.37</v>
      </c>
      <c r="N436" s="19">
        <v>407.33</v>
      </c>
      <c r="O436" s="19" t="s">
        <v>61</v>
      </c>
      <c r="P436" s="21">
        <v>34.979999999999997</v>
      </c>
    </row>
    <row r="437" spans="1:16" x14ac:dyDescent="0.3">
      <c r="A437" s="17" t="s">
        <v>502</v>
      </c>
      <c r="B437" s="18">
        <v>43211</v>
      </c>
      <c r="C437" s="19">
        <v>2018</v>
      </c>
      <c r="D437" s="20" t="s">
        <v>31</v>
      </c>
      <c r="E437" s="19" t="s">
        <v>32</v>
      </c>
      <c r="F437" s="19" t="s">
        <v>19</v>
      </c>
      <c r="G437" s="19" t="s">
        <v>56</v>
      </c>
      <c r="H437" s="19">
        <v>2.12</v>
      </c>
      <c r="I437" s="19">
        <v>4.68</v>
      </c>
      <c r="J437" s="19">
        <v>2207.12</v>
      </c>
      <c r="K437" s="19" t="s">
        <v>34</v>
      </c>
      <c r="L437" s="19" t="s">
        <v>22</v>
      </c>
      <c r="M437" s="19">
        <v>113.6</v>
      </c>
      <c r="N437" s="19">
        <v>267.83999999999997</v>
      </c>
      <c r="O437" s="19" t="s">
        <v>70</v>
      </c>
      <c r="P437" s="21">
        <v>27.6</v>
      </c>
    </row>
    <row r="438" spans="1:16" x14ac:dyDescent="0.3">
      <c r="A438" s="17" t="s">
        <v>503</v>
      </c>
      <c r="B438" s="18">
        <v>42431</v>
      </c>
      <c r="C438" s="19">
        <v>2015</v>
      </c>
      <c r="D438" s="20" t="s">
        <v>25</v>
      </c>
      <c r="E438" s="19" t="s">
        <v>69</v>
      </c>
      <c r="F438" s="19" t="s">
        <v>38</v>
      </c>
      <c r="G438" s="19" t="s">
        <v>46</v>
      </c>
      <c r="H438" s="19">
        <v>72.72</v>
      </c>
      <c r="I438" s="19">
        <v>341.49</v>
      </c>
      <c r="J438" s="19">
        <v>4695.96</v>
      </c>
      <c r="K438" s="19" t="s">
        <v>21</v>
      </c>
      <c r="L438" s="19" t="s">
        <v>29</v>
      </c>
      <c r="M438" s="19">
        <v>258.01</v>
      </c>
      <c r="N438" s="19">
        <v>394.02</v>
      </c>
      <c r="O438" s="19" t="s">
        <v>70</v>
      </c>
      <c r="P438" s="21">
        <v>33.83</v>
      </c>
    </row>
    <row r="439" spans="1:16" x14ac:dyDescent="0.3">
      <c r="A439" s="17" t="s">
        <v>504</v>
      </c>
      <c r="B439" s="18">
        <v>44059</v>
      </c>
      <c r="C439" s="19">
        <v>2020</v>
      </c>
      <c r="D439" s="20" t="s">
        <v>44</v>
      </c>
      <c r="E439" s="19" t="s">
        <v>45</v>
      </c>
      <c r="F439" s="19" t="s">
        <v>33</v>
      </c>
      <c r="G439" s="19" t="s">
        <v>46</v>
      </c>
      <c r="H439" s="19">
        <v>16.38</v>
      </c>
      <c r="I439" s="19">
        <v>61.65</v>
      </c>
      <c r="J439" s="19">
        <v>3763.71</v>
      </c>
      <c r="K439" s="19" t="s">
        <v>34</v>
      </c>
      <c r="L439" s="19" t="s">
        <v>47</v>
      </c>
      <c r="M439" s="19">
        <v>165.62</v>
      </c>
      <c r="N439" s="19">
        <v>1014.17</v>
      </c>
      <c r="O439" s="19" t="s">
        <v>23</v>
      </c>
      <c r="P439" s="21">
        <v>32.53</v>
      </c>
    </row>
    <row r="440" spans="1:16" x14ac:dyDescent="0.3">
      <c r="A440" s="17" t="s">
        <v>505</v>
      </c>
      <c r="B440" s="18">
        <v>42104</v>
      </c>
      <c r="C440" s="19">
        <v>2015</v>
      </c>
      <c r="D440" s="20" t="s">
        <v>17</v>
      </c>
      <c r="E440" s="19" t="s">
        <v>54</v>
      </c>
      <c r="F440" s="19" t="s">
        <v>19</v>
      </c>
      <c r="G440" s="19" t="s">
        <v>27</v>
      </c>
      <c r="H440" s="19">
        <v>2.85</v>
      </c>
      <c r="I440" s="19">
        <v>12.72</v>
      </c>
      <c r="J440" s="19">
        <v>4464.3900000000003</v>
      </c>
      <c r="K440" s="19" t="s">
        <v>34</v>
      </c>
      <c r="L440" s="19" t="s">
        <v>49</v>
      </c>
      <c r="M440" s="19">
        <v>249.88</v>
      </c>
      <c r="N440" s="19">
        <v>1088.03</v>
      </c>
      <c r="O440" s="19" t="s">
        <v>70</v>
      </c>
      <c r="P440" s="21">
        <v>20.99</v>
      </c>
    </row>
    <row r="441" spans="1:16" x14ac:dyDescent="0.3">
      <c r="A441" s="17" t="s">
        <v>506</v>
      </c>
      <c r="B441" s="18">
        <v>42389</v>
      </c>
      <c r="C441" s="19">
        <v>2015</v>
      </c>
      <c r="D441" s="20" t="s">
        <v>44</v>
      </c>
      <c r="E441" s="19" t="s">
        <v>45</v>
      </c>
      <c r="F441" s="19" t="s">
        <v>38</v>
      </c>
      <c r="G441" s="19" t="s">
        <v>39</v>
      </c>
      <c r="H441" s="19">
        <v>53.89</v>
      </c>
      <c r="I441" s="19">
        <v>107.55</v>
      </c>
      <c r="J441" s="19">
        <v>1995.82</v>
      </c>
      <c r="K441" s="19" t="s">
        <v>28</v>
      </c>
      <c r="L441" s="19" t="s">
        <v>22</v>
      </c>
      <c r="M441" s="19">
        <v>96.84</v>
      </c>
      <c r="N441" s="19">
        <v>316.83999999999997</v>
      </c>
      <c r="O441" s="19" t="s">
        <v>70</v>
      </c>
      <c r="P441" s="21">
        <v>30.58</v>
      </c>
    </row>
    <row r="442" spans="1:16" x14ac:dyDescent="0.3">
      <c r="A442" s="17" t="s">
        <v>507</v>
      </c>
      <c r="B442" s="18">
        <v>40857</v>
      </c>
      <c r="C442" s="19">
        <v>2011</v>
      </c>
      <c r="D442" s="20" t="s">
        <v>31</v>
      </c>
      <c r="E442" s="19" t="s">
        <v>32</v>
      </c>
      <c r="F442" s="19" t="s">
        <v>38</v>
      </c>
      <c r="G442" s="19" t="s">
        <v>56</v>
      </c>
      <c r="H442" s="19">
        <v>37.79</v>
      </c>
      <c r="I442" s="19">
        <v>225.86</v>
      </c>
      <c r="J442" s="19">
        <v>5976.74</v>
      </c>
      <c r="K442" s="19" t="s">
        <v>34</v>
      </c>
      <c r="L442" s="19" t="s">
        <v>41</v>
      </c>
      <c r="M442" s="19">
        <v>104.03</v>
      </c>
      <c r="N442" s="19">
        <v>502.32</v>
      </c>
      <c r="O442" s="19" t="s">
        <v>23</v>
      </c>
      <c r="P442" s="21">
        <v>25.61</v>
      </c>
    </row>
    <row r="443" spans="1:16" x14ac:dyDescent="0.3">
      <c r="A443" s="17" t="s">
        <v>508</v>
      </c>
      <c r="B443" s="18">
        <v>43335</v>
      </c>
      <c r="C443" s="19">
        <v>2018</v>
      </c>
      <c r="D443" s="20" t="s">
        <v>25</v>
      </c>
      <c r="E443" s="19" t="s">
        <v>87</v>
      </c>
      <c r="F443" s="19" t="s">
        <v>33</v>
      </c>
      <c r="G443" s="19" t="s">
        <v>46</v>
      </c>
      <c r="H443" s="19">
        <v>90.59</v>
      </c>
      <c r="I443" s="19">
        <v>174.34</v>
      </c>
      <c r="J443" s="19">
        <v>1924.47</v>
      </c>
      <c r="K443" s="19" t="s">
        <v>34</v>
      </c>
      <c r="L443" s="19" t="s">
        <v>41</v>
      </c>
      <c r="M443" s="19">
        <v>280.91000000000003</v>
      </c>
      <c r="N443" s="19">
        <v>932.44</v>
      </c>
      <c r="O443" s="19" t="s">
        <v>61</v>
      </c>
      <c r="P443" s="21">
        <v>24.66</v>
      </c>
    </row>
    <row r="444" spans="1:16" x14ac:dyDescent="0.3">
      <c r="A444" s="17" t="s">
        <v>509</v>
      </c>
      <c r="B444" s="18">
        <v>43193</v>
      </c>
      <c r="C444" s="19">
        <v>2018</v>
      </c>
      <c r="D444" s="20" t="s">
        <v>44</v>
      </c>
      <c r="E444" s="19" t="s">
        <v>45</v>
      </c>
      <c r="F444" s="19" t="s">
        <v>19</v>
      </c>
      <c r="G444" s="19" t="s">
        <v>56</v>
      </c>
      <c r="H444" s="19">
        <v>21.31</v>
      </c>
      <c r="I444" s="19">
        <v>25.98</v>
      </c>
      <c r="J444" s="19">
        <v>1219.32</v>
      </c>
      <c r="K444" s="19" t="s">
        <v>28</v>
      </c>
      <c r="L444" s="19" t="s">
        <v>47</v>
      </c>
      <c r="M444" s="19">
        <v>228.42</v>
      </c>
      <c r="N444" s="19">
        <v>722.34</v>
      </c>
      <c r="O444" s="19" t="s">
        <v>23</v>
      </c>
      <c r="P444" s="21">
        <v>24.66</v>
      </c>
    </row>
    <row r="445" spans="1:16" x14ac:dyDescent="0.3">
      <c r="A445" s="17" t="s">
        <v>510</v>
      </c>
      <c r="B445" s="18">
        <v>42358</v>
      </c>
      <c r="C445" s="19">
        <v>2015</v>
      </c>
      <c r="D445" s="20" t="s">
        <v>44</v>
      </c>
      <c r="E445" s="19" t="s">
        <v>45</v>
      </c>
      <c r="F445" s="19" t="s">
        <v>38</v>
      </c>
      <c r="G445" s="19" t="s">
        <v>64</v>
      </c>
      <c r="H445" s="19">
        <v>11.21</v>
      </c>
      <c r="I445" s="19">
        <v>62.74</v>
      </c>
      <c r="J445" s="19">
        <v>5597.08</v>
      </c>
      <c r="K445" s="19" t="s">
        <v>34</v>
      </c>
      <c r="L445" s="19" t="s">
        <v>49</v>
      </c>
      <c r="M445" s="19">
        <v>55.62</v>
      </c>
      <c r="N445" s="19">
        <v>958.49</v>
      </c>
      <c r="O445" s="19" t="s">
        <v>42</v>
      </c>
      <c r="P445" s="21">
        <v>24.81</v>
      </c>
    </row>
    <row r="446" spans="1:16" x14ac:dyDescent="0.3">
      <c r="A446" s="17" t="s">
        <v>511</v>
      </c>
      <c r="B446" s="18">
        <v>42361</v>
      </c>
      <c r="C446" s="19">
        <v>2015</v>
      </c>
      <c r="D446" s="20" t="s">
        <v>31</v>
      </c>
      <c r="E446" s="19" t="s">
        <v>117</v>
      </c>
      <c r="F446" s="19" t="s">
        <v>38</v>
      </c>
      <c r="G446" s="19" t="s">
        <v>39</v>
      </c>
      <c r="H446" s="19">
        <v>12.65</v>
      </c>
      <c r="I446" s="19">
        <v>23.98</v>
      </c>
      <c r="J446" s="19">
        <v>1895.92</v>
      </c>
      <c r="K446" s="19" t="s">
        <v>34</v>
      </c>
      <c r="L446" s="19" t="s">
        <v>47</v>
      </c>
      <c r="M446" s="19">
        <v>78.62</v>
      </c>
      <c r="N446" s="19">
        <v>1158.3</v>
      </c>
      <c r="O446" s="19" t="s">
        <v>61</v>
      </c>
      <c r="P446" s="21">
        <v>27.71</v>
      </c>
    </row>
    <row r="447" spans="1:16" x14ac:dyDescent="0.3">
      <c r="A447" s="17" t="s">
        <v>512</v>
      </c>
      <c r="B447" s="18">
        <v>42321</v>
      </c>
      <c r="C447" s="19">
        <v>2015</v>
      </c>
      <c r="D447" s="20" t="s">
        <v>31</v>
      </c>
      <c r="E447" s="19" t="s">
        <v>117</v>
      </c>
      <c r="F447" s="19" t="s">
        <v>38</v>
      </c>
      <c r="G447" s="19" t="s">
        <v>56</v>
      </c>
      <c r="H447" s="19">
        <v>94.38</v>
      </c>
      <c r="I447" s="19">
        <v>549.66999999999996</v>
      </c>
      <c r="J447" s="19">
        <v>5824.02</v>
      </c>
      <c r="K447" s="19" t="s">
        <v>40</v>
      </c>
      <c r="L447" s="19" t="s">
        <v>41</v>
      </c>
      <c r="M447" s="19">
        <v>92.82</v>
      </c>
      <c r="N447" s="19">
        <v>511.38</v>
      </c>
      <c r="O447" s="19" t="s">
        <v>70</v>
      </c>
      <c r="P447" s="21">
        <v>28.11</v>
      </c>
    </row>
    <row r="448" spans="1:16" x14ac:dyDescent="0.3">
      <c r="A448" s="17" t="s">
        <v>513</v>
      </c>
      <c r="B448" s="18">
        <v>44097</v>
      </c>
      <c r="C448" s="19">
        <v>2020</v>
      </c>
      <c r="D448" s="20" t="s">
        <v>25</v>
      </c>
      <c r="E448" s="19" t="s">
        <v>87</v>
      </c>
      <c r="F448" s="19" t="s">
        <v>33</v>
      </c>
      <c r="G448" s="19" t="s">
        <v>64</v>
      </c>
      <c r="H448" s="19">
        <v>38.979999999999997</v>
      </c>
      <c r="I448" s="19">
        <v>59.12</v>
      </c>
      <c r="J448" s="19">
        <v>1516.72</v>
      </c>
      <c r="K448" s="19" t="s">
        <v>28</v>
      </c>
      <c r="L448" s="19" t="s">
        <v>47</v>
      </c>
      <c r="M448" s="19">
        <v>94.75</v>
      </c>
      <c r="N448" s="19">
        <v>796.12</v>
      </c>
      <c r="O448" s="19" t="s">
        <v>61</v>
      </c>
      <c r="P448" s="21">
        <v>29.44</v>
      </c>
    </row>
    <row r="449" spans="1:16" x14ac:dyDescent="0.3">
      <c r="A449" s="17" t="s">
        <v>514</v>
      </c>
      <c r="B449" s="18">
        <v>42179</v>
      </c>
      <c r="C449" s="19">
        <v>2015</v>
      </c>
      <c r="D449" s="20" t="s">
        <v>31</v>
      </c>
      <c r="E449" s="19" t="s">
        <v>32</v>
      </c>
      <c r="F449" s="19" t="s">
        <v>33</v>
      </c>
      <c r="G449" s="19" t="s">
        <v>39</v>
      </c>
      <c r="H449" s="19">
        <v>76.08</v>
      </c>
      <c r="I449" s="19">
        <v>445.51</v>
      </c>
      <c r="J449" s="19">
        <v>5855.8</v>
      </c>
      <c r="K449" s="19" t="s">
        <v>21</v>
      </c>
      <c r="L449" s="19" t="s">
        <v>29</v>
      </c>
      <c r="M449" s="19">
        <v>293.42</v>
      </c>
      <c r="N449" s="19">
        <v>955.74</v>
      </c>
      <c r="O449" s="19" t="s">
        <v>52</v>
      </c>
      <c r="P449" s="21">
        <v>28.52</v>
      </c>
    </row>
    <row r="450" spans="1:16" x14ac:dyDescent="0.3">
      <c r="A450" s="17" t="s">
        <v>515</v>
      </c>
      <c r="B450" s="18">
        <v>41753</v>
      </c>
      <c r="C450" s="19">
        <v>2014</v>
      </c>
      <c r="D450" s="20" t="s">
        <v>25</v>
      </c>
      <c r="E450" s="19" t="s">
        <v>87</v>
      </c>
      <c r="F450" s="19" t="s">
        <v>19</v>
      </c>
      <c r="G450" s="19" t="s">
        <v>39</v>
      </c>
      <c r="H450" s="19">
        <v>71.31</v>
      </c>
      <c r="I450" s="19">
        <v>270.43</v>
      </c>
      <c r="J450" s="19">
        <v>3792.38</v>
      </c>
      <c r="K450" s="19" t="s">
        <v>40</v>
      </c>
      <c r="L450" s="19" t="s">
        <v>29</v>
      </c>
      <c r="M450" s="19">
        <v>286.86</v>
      </c>
      <c r="N450" s="19">
        <v>343.72</v>
      </c>
      <c r="O450" s="19" t="s">
        <v>61</v>
      </c>
      <c r="P450" s="21">
        <v>23.87</v>
      </c>
    </row>
    <row r="451" spans="1:16" x14ac:dyDescent="0.3">
      <c r="A451" s="17" t="s">
        <v>516</v>
      </c>
      <c r="B451" s="18">
        <v>44225</v>
      </c>
      <c r="C451" s="19">
        <v>2020</v>
      </c>
      <c r="D451" s="20" t="s">
        <v>103</v>
      </c>
      <c r="E451" s="19" t="s">
        <v>228</v>
      </c>
      <c r="F451" s="19" t="s">
        <v>38</v>
      </c>
      <c r="G451" s="19" t="s">
        <v>20</v>
      </c>
      <c r="H451" s="19">
        <v>45.88</v>
      </c>
      <c r="I451" s="19">
        <v>54.21</v>
      </c>
      <c r="J451" s="19">
        <v>1181.58</v>
      </c>
      <c r="K451" s="19" t="s">
        <v>28</v>
      </c>
      <c r="L451" s="19" t="s">
        <v>47</v>
      </c>
      <c r="M451" s="19">
        <v>78.22</v>
      </c>
      <c r="N451" s="19">
        <v>678.65</v>
      </c>
      <c r="O451" s="19" t="s">
        <v>42</v>
      </c>
      <c r="P451" s="21">
        <v>24.23</v>
      </c>
    </row>
    <row r="452" spans="1:16" x14ac:dyDescent="0.3">
      <c r="A452" s="17" t="s">
        <v>517</v>
      </c>
      <c r="B452" s="18">
        <v>43354</v>
      </c>
      <c r="C452" s="19">
        <v>2018</v>
      </c>
      <c r="D452" s="20" t="s">
        <v>59</v>
      </c>
      <c r="E452" s="19" t="s">
        <v>60</v>
      </c>
      <c r="F452" s="19" t="s">
        <v>33</v>
      </c>
      <c r="G452" s="19" t="s">
        <v>46</v>
      </c>
      <c r="H452" s="19">
        <v>81.94</v>
      </c>
      <c r="I452" s="19">
        <v>473.66</v>
      </c>
      <c r="J452" s="19">
        <v>5780.55</v>
      </c>
      <c r="K452" s="19" t="s">
        <v>34</v>
      </c>
      <c r="L452" s="19" t="s">
        <v>47</v>
      </c>
      <c r="M452" s="19">
        <v>189.04</v>
      </c>
      <c r="N452" s="19">
        <v>270.92</v>
      </c>
      <c r="O452" s="19" t="s">
        <v>70</v>
      </c>
      <c r="P452" s="21">
        <v>27.99</v>
      </c>
    </row>
    <row r="453" spans="1:16" x14ac:dyDescent="0.3">
      <c r="A453" s="17" t="s">
        <v>518</v>
      </c>
      <c r="B453" s="18">
        <v>43728</v>
      </c>
      <c r="C453" s="19">
        <v>2019</v>
      </c>
      <c r="D453" s="20" t="s">
        <v>36</v>
      </c>
      <c r="E453" s="19" t="s">
        <v>37</v>
      </c>
      <c r="F453" s="19" t="s">
        <v>33</v>
      </c>
      <c r="G453" s="19" t="s">
        <v>27</v>
      </c>
      <c r="H453" s="19">
        <v>16.739999999999998</v>
      </c>
      <c r="I453" s="19">
        <v>65.19</v>
      </c>
      <c r="J453" s="19">
        <v>3894.25</v>
      </c>
      <c r="K453" s="19" t="s">
        <v>21</v>
      </c>
      <c r="L453" s="19" t="s">
        <v>47</v>
      </c>
      <c r="M453" s="19">
        <v>135.18</v>
      </c>
      <c r="N453" s="19">
        <v>1013.92</v>
      </c>
      <c r="O453" s="19" t="s">
        <v>61</v>
      </c>
      <c r="P453" s="21">
        <v>26.47</v>
      </c>
    </row>
    <row r="454" spans="1:16" x14ac:dyDescent="0.3">
      <c r="A454" s="17" t="s">
        <v>519</v>
      </c>
      <c r="B454" s="18">
        <v>43243</v>
      </c>
      <c r="C454" s="19">
        <v>2018</v>
      </c>
      <c r="D454" s="20" t="s">
        <v>44</v>
      </c>
      <c r="E454" s="19" t="s">
        <v>99</v>
      </c>
      <c r="F454" s="19" t="s">
        <v>19</v>
      </c>
      <c r="G454" s="19" t="s">
        <v>56</v>
      </c>
      <c r="H454" s="19">
        <v>18.14</v>
      </c>
      <c r="I454" s="19">
        <v>91.02</v>
      </c>
      <c r="J454" s="19">
        <v>5017.63</v>
      </c>
      <c r="K454" s="19" t="s">
        <v>28</v>
      </c>
      <c r="L454" s="19" t="s">
        <v>29</v>
      </c>
      <c r="M454" s="19">
        <v>78.58</v>
      </c>
      <c r="N454" s="19">
        <v>796.08</v>
      </c>
      <c r="O454" s="19" t="s">
        <v>70</v>
      </c>
      <c r="P454" s="21">
        <v>28.33</v>
      </c>
    </row>
    <row r="455" spans="1:16" x14ac:dyDescent="0.3">
      <c r="A455" s="17" t="s">
        <v>520</v>
      </c>
      <c r="B455" s="18">
        <v>42557</v>
      </c>
      <c r="C455" s="19">
        <v>2016</v>
      </c>
      <c r="D455" s="20" t="s">
        <v>103</v>
      </c>
      <c r="E455" s="19" t="s">
        <v>107</v>
      </c>
      <c r="F455" s="19" t="s">
        <v>33</v>
      </c>
      <c r="G455" s="19" t="s">
        <v>27</v>
      </c>
      <c r="H455" s="19">
        <v>11.77</v>
      </c>
      <c r="I455" s="19">
        <v>69.260000000000005</v>
      </c>
      <c r="J455" s="19">
        <v>5884.4</v>
      </c>
      <c r="K455" s="19" t="s">
        <v>28</v>
      </c>
      <c r="L455" s="19" t="s">
        <v>47</v>
      </c>
      <c r="M455" s="19">
        <v>131.85</v>
      </c>
      <c r="N455" s="19">
        <v>844.99</v>
      </c>
      <c r="O455" s="19" t="s">
        <v>23</v>
      </c>
      <c r="P455" s="21">
        <v>21.36</v>
      </c>
    </row>
    <row r="456" spans="1:16" x14ac:dyDescent="0.3">
      <c r="A456" s="17" t="s">
        <v>521</v>
      </c>
      <c r="B456" s="18">
        <v>44794</v>
      </c>
      <c r="C456" s="19">
        <v>2022</v>
      </c>
      <c r="D456" s="20" t="s">
        <v>44</v>
      </c>
      <c r="E456" s="19" t="s">
        <v>67</v>
      </c>
      <c r="F456" s="19" t="s">
        <v>33</v>
      </c>
      <c r="G456" s="19" t="s">
        <v>56</v>
      </c>
      <c r="H456" s="19">
        <v>66.430000000000007</v>
      </c>
      <c r="I456" s="19">
        <v>246.98</v>
      </c>
      <c r="J456" s="19">
        <v>3717.85</v>
      </c>
      <c r="K456" s="19" t="s">
        <v>34</v>
      </c>
      <c r="L456" s="19" t="s">
        <v>49</v>
      </c>
      <c r="M456" s="19">
        <v>147.5</v>
      </c>
      <c r="N456" s="19">
        <v>777.93</v>
      </c>
      <c r="O456" s="19" t="s">
        <v>42</v>
      </c>
      <c r="P456" s="21">
        <v>23.08</v>
      </c>
    </row>
    <row r="457" spans="1:16" x14ac:dyDescent="0.3">
      <c r="A457" s="17" t="s">
        <v>522</v>
      </c>
      <c r="B457" s="18">
        <v>41976</v>
      </c>
      <c r="C457" s="19">
        <v>2014</v>
      </c>
      <c r="D457" s="20" t="s">
        <v>59</v>
      </c>
      <c r="E457" s="19" t="s">
        <v>93</v>
      </c>
      <c r="F457" s="19" t="s">
        <v>38</v>
      </c>
      <c r="G457" s="19" t="s">
        <v>39</v>
      </c>
      <c r="H457" s="19">
        <v>98.28</v>
      </c>
      <c r="I457" s="19">
        <v>301.29000000000002</v>
      </c>
      <c r="J457" s="19">
        <v>3065.59</v>
      </c>
      <c r="K457" s="19" t="s">
        <v>21</v>
      </c>
      <c r="L457" s="19" t="s">
        <v>49</v>
      </c>
      <c r="M457" s="19">
        <v>195.68</v>
      </c>
      <c r="N457" s="19">
        <v>811.49</v>
      </c>
      <c r="O457" s="19" t="s">
        <v>61</v>
      </c>
      <c r="P457" s="21">
        <v>26.06</v>
      </c>
    </row>
    <row r="458" spans="1:16" x14ac:dyDescent="0.3">
      <c r="A458" s="17" t="s">
        <v>523</v>
      </c>
      <c r="B458" s="18">
        <v>43403</v>
      </c>
      <c r="C458" s="19">
        <v>2018</v>
      </c>
      <c r="D458" s="20" t="s">
        <v>25</v>
      </c>
      <c r="E458" s="19" t="s">
        <v>87</v>
      </c>
      <c r="F458" s="19" t="s">
        <v>33</v>
      </c>
      <c r="G458" s="19" t="s">
        <v>64</v>
      </c>
      <c r="H458" s="19">
        <v>70.63</v>
      </c>
      <c r="I458" s="19">
        <v>418.45</v>
      </c>
      <c r="J458" s="19">
        <v>5924.52</v>
      </c>
      <c r="K458" s="19" t="s">
        <v>34</v>
      </c>
      <c r="L458" s="19" t="s">
        <v>29</v>
      </c>
      <c r="M458" s="19">
        <v>77.42</v>
      </c>
      <c r="N458" s="19">
        <v>482.21</v>
      </c>
      <c r="O458" s="19" t="s">
        <v>23</v>
      </c>
      <c r="P458" s="21">
        <v>23.53</v>
      </c>
    </row>
    <row r="459" spans="1:16" x14ac:dyDescent="0.3">
      <c r="A459" s="17" t="s">
        <v>524</v>
      </c>
      <c r="B459" s="18">
        <v>44593</v>
      </c>
      <c r="C459" s="19">
        <v>2021</v>
      </c>
      <c r="D459" s="20" t="s">
        <v>17</v>
      </c>
      <c r="E459" s="19" t="s">
        <v>72</v>
      </c>
      <c r="F459" s="19" t="s">
        <v>38</v>
      </c>
      <c r="G459" s="19" t="s">
        <v>46</v>
      </c>
      <c r="H459" s="19">
        <v>38.770000000000003</v>
      </c>
      <c r="I459" s="19">
        <v>165.58</v>
      </c>
      <c r="J459" s="19">
        <v>4270.71</v>
      </c>
      <c r="K459" s="19" t="s">
        <v>40</v>
      </c>
      <c r="L459" s="19" t="s">
        <v>29</v>
      </c>
      <c r="M459" s="19">
        <v>168.72</v>
      </c>
      <c r="N459" s="19">
        <v>388.23</v>
      </c>
      <c r="O459" s="19" t="s">
        <v>52</v>
      </c>
      <c r="P459" s="21">
        <v>32.65</v>
      </c>
    </row>
    <row r="460" spans="1:16" x14ac:dyDescent="0.3">
      <c r="A460" s="17" t="s">
        <v>525</v>
      </c>
      <c r="B460" s="18">
        <v>44017</v>
      </c>
      <c r="C460" s="19">
        <v>2020</v>
      </c>
      <c r="D460" s="20" t="s">
        <v>103</v>
      </c>
      <c r="E460" s="19" t="s">
        <v>107</v>
      </c>
      <c r="F460" s="19" t="s">
        <v>33</v>
      </c>
      <c r="G460" s="19" t="s">
        <v>56</v>
      </c>
      <c r="H460" s="19">
        <v>2.15</v>
      </c>
      <c r="I460" s="19">
        <v>10.51</v>
      </c>
      <c r="J460" s="19">
        <v>4890.34</v>
      </c>
      <c r="K460" s="19" t="s">
        <v>40</v>
      </c>
      <c r="L460" s="19" t="s">
        <v>22</v>
      </c>
      <c r="M460" s="19">
        <v>230.33</v>
      </c>
      <c r="N460" s="19">
        <v>686.7</v>
      </c>
      <c r="O460" s="19" t="s">
        <v>52</v>
      </c>
      <c r="P460" s="21">
        <v>34.619999999999997</v>
      </c>
    </row>
    <row r="461" spans="1:16" x14ac:dyDescent="0.3">
      <c r="A461" s="17" t="s">
        <v>526</v>
      </c>
      <c r="B461" s="18">
        <v>44981</v>
      </c>
      <c r="C461" s="19">
        <v>2022</v>
      </c>
      <c r="D461" s="20" t="s">
        <v>103</v>
      </c>
      <c r="E461" s="19" t="s">
        <v>228</v>
      </c>
      <c r="F461" s="19" t="s">
        <v>38</v>
      </c>
      <c r="G461" s="19" t="s">
        <v>46</v>
      </c>
      <c r="H461" s="19">
        <v>89.46</v>
      </c>
      <c r="I461" s="19">
        <v>462.72</v>
      </c>
      <c r="J461" s="19">
        <v>5172.34</v>
      </c>
      <c r="K461" s="19" t="s">
        <v>28</v>
      </c>
      <c r="L461" s="19" t="s">
        <v>29</v>
      </c>
      <c r="M461" s="19">
        <v>205.81</v>
      </c>
      <c r="N461" s="19">
        <v>654.39</v>
      </c>
      <c r="O461" s="19" t="s">
        <v>52</v>
      </c>
      <c r="P461" s="21">
        <v>28.28</v>
      </c>
    </row>
    <row r="462" spans="1:16" x14ac:dyDescent="0.3">
      <c r="A462" s="17" t="s">
        <v>527</v>
      </c>
      <c r="B462" s="18">
        <v>41222</v>
      </c>
      <c r="C462" s="19">
        <v>2012</v>
      </c>
      <c r="D462" s="20" t="s">
        <v>31</v>
      </c>
      <c r="E462" s="19" t="s">
        <v>82</v>
      </c>
      <c r="F462" s="19" t="s">
        <v>38</v>
      </c>
      <c r="G462" s="19" t="s">
        <v>27</v>
      </c>
      <c r="H462" s="19">
        <v>1.74</v>
      </c>
      <c r="I462" s="19">
        <v>6.94</v>
      </c>
      <c r="J462" s="19">
        <v>3988.94</v>
      </c>
      <c r="K462" s="19" t="s">
        <v>40</v>
      </c>
      <c r="L462" s="19" t="s">
        <v>22</v>
      </c>
      <c r="M462" s="19">
        <v>228.03</v>
      </c>
      <c r="N462" s="19">
        <v>469.25</v>
      </c>
      <c r="O462" s="19" t="s">
        <v>61</v>
      </c>
      <c r="P462" s="21">
        <v>28.65</v>
      </c>
    </row>
    <row r="463" spans="1:16" x14ac:dyDescent="0.3">
      <c r="A463" s="17" t="s">
        <v>528</v>
      </c>
      <c r="B463" s="18">
        <v>44521</v>
      </c>
      <c r="C463" s="19">
        <v>2021</v>
      </c>
      <c r="D463" s="20" t="s">
        <v>59</v>
      </c>
      <c r="E463" s="19" t="s">
        <v>63</v>
      </c>
      <c r="F463" s="19" t="s">
        <v>38</v>
      </c>
      <c r="G463" s="19" t="s">
        <v>64</v>
      </c>
      <c r="H463" s="19">
        <v>58.45</v>
      </c>
      <c r="I463" s="19">
        <v>395.73</v>
      </c>
      <c r="J463" s="19">
        <v>6770.43</v>
      </c>
      <c r="K463" s="19" t="s">
        <v>21</v>
      </c>
      <c r="L463" s="19" t="s">
        <v>47</v>
      </c>
      <c r="M463" s="19">
        <v>85.52</v>
      </c>
      <c r="N463" s="19">
        <v>931.29</v>
      </c>
      <c r="O463" s="19" t="s">
        <v>70</v>
      </c>
      <c r="P463" s="21">
        <v>26.97</v>
      </c>
    </row>
    <row r="464" spans="1:16" x14ac:dyDescent="0.3">
      <c r="A464" s="17" t="s">
        <v>529</v>
      </c>
      <c r="B464" s="18">
        <v>41592</v>
      </c>
      <c r="C464" s="19">
        <v>2013</v>
      </c>
      <c r="D464" s="20" t="s">
        <v>59</v>
      </c>
      <c r="E464" s="19" t="s">
        <v>60</v>
      </c>
      <c r="F464" s="19" t="s">
        <v>38</v>
      </c>
      <c r="G464" s="19" t="s">
        <v>39</v>
      </c>
      <c r="H464" s="19">
        <v>74.430000000000007</v>
      </c>
      <c r="I464" s="19">
        <v>503.33</v>
      </c>
      <c r="J464" s="19">
        <v>6762.47</v>
      </c>
      <c r="K464" s="19" t="s">
        <v>21</v>
      </c>
      <c r="L464" s="19" t="s">
        <v>49</v>
      </c>
      <c r="M464" s="19">
        <v>221.02</v>
      </c>
      <c r="N464" s="19">
        <v>739.2</v>
      </c>
      <c r="O464" s="19" t="s">
        <v>61</v>
      </c>
      <c r="P464" s="21">
        <v>24.69</v>
      </c>
    </row>
    <row r="465" spans="1:16" x14ac:dyDescent="0.3">
      <c r="A465" s="17" t="s">
        <v>530</v>
      </c>
      <c r="B465" s="18">
        <v>43049</v>
      </c>
      <c r="C465" s="19">
        <v>2017</v>
      </c>
      <c r="D465" s="20" t="s">
        <v>59</v>
      </c>
      <c r="E465" s="19" t="s">
        <v>60</v>
      </c>
      <c r="F465" s="19" t="s">
        <v>38</v>
      </c>
      <c r="G465" s="19" t="s">
        <v>27</v>
      </c>
      <c r="H465" s="19">
        <v>90.7</v>
      </c>
      <c r="I465" s="19">
        <v>403.05</v>
      </c>
      <c r="J465" s="19">
        <v>4443.79</v>
      </c>
      <c r="K465" s="19" t="s">
        <v>34</v>
      </c>
      <c r="L465" s="19" t="s">
        <v>47</v>
      </c>
      <c r="M465" s="19">
        <v>155.25</v>
      </c>
      <c r="N465" s="19">
        <v>1160.58</v>
      </c>
      <c r="O465" s="19" t="s">
        <v>70</v>
      </c>
      <c r="P465" s="21">
        <v>24.34</v>
      </c>
    </row>
    <row r="466" spans="1:16" x14ac:dyDescent="0.3">
      <c r="A466" s="17" t="s">
        <v>531</v>
      </c>
      <c r="B466" s="18">
        <v>44326</v>
      </c>
      <c r="C466" s="19">
        <v>2021</v>
      </c>
      <c r="D466" s="20" t="s">
        <v>17</v>
      </c>
      <c r="E466" s="19" t="s">
        <v>72</v>
      </c>
      <c r="F466" s="19" t="s">
        <v>19</v>
      </c>
      <c r="G466" s="19" t="s">
        <v>20</v>
      </c>
      <c r="H466" s="19">
        <v>7.08</v>
      </c>
      <c r="I466" s="19">
        <v>27.18</v>
      </c>
      <c r="J466" s="19">
        <v>3838.96</v>
      </c>
      <c r="K466" s="19" t="s">
        <v>40</v>
      </c>
      <c r="L466" s="19" t="s">
        <v>22</v>
      </c>
      <c r="M466" s="19">
        <v>193.21</v>
      </c>
      <c r="N466" s="19">
        <v>856.32</v>
      </c>
      <c r="O466" s="19" t="s">
        <v>70</v>
      </c>
      <c r="P466" s="21">
        <v>32.130000000000003</v>
      </c>
    </row>
    <row r="467" spans="1:16" x14ac:dyDescent="0.3">
      <c r="A467" s="17" t="s">
        <v>532</v>
      </c>
      <c r="B467" s="18">
        <v>40723</v>
      </c>
      <c r="C467" s="19">
        <v>2011</v>
      </c>
      <c r="D467" s="20" t="s">
        <v>31</v>
      </c>
      <c r="E467" s="19" t="s">
        <v>32</v>
      </c>
      <c r="F467" s="19" t="s">
        <v>33</v>
      </c>
      <c r="G467" s="19" t="s">
        <v>27</v>
      </c>
      <c r="H467" s="19">
        <v>8.61</v>
      </c>
      <c r="I467" s="19">
        <v>49.1</v>
      </c>
      <c r="J467" s="19">
        <v>5702.58</v>
      </c>
      <c r="K467" s="19" t="s">
        <v>34</v>
      </c>
      <c r="L467" s="19" t="s">
        <v>47</v>
      </c>
      <c r="M467" s="19">
        <v>83.13</v>
      </c>
      <c r="N467" s="19">
        <v>480.97</v>
      </c>
      <c r="O467" s="19" t="s">
        <v>70</v>
      </c>
      <c r="P467" s="21">
        <v>20.21</v>
      </c>
    </row>
    <row r="468" spans="1:16" x14ac:dyDescent="0.3">
      <c r="A468" s="17" t="s">
        <v>533</v>
      </c>
      <c r="B468" s="18">
        <v>44356</v>
      </c>
      <c r="C468" s="19">
        <v>2021</v>
      </c>
      <c r="D468" s="20" t="s">
        <v>103</v>
      </c>
      <c r="E468" s="19" t="s">
        <v>228</v>
      </c>
      <c r="F468" s="19" t="s">
        <v>33</v>
      </c>
      <c r="G468" s="19" t="s">
        <v>39</v>
      </c>
      <c r="H468" s="19">
        <v>45.22</v>
      </c>
      <c r="I468" s="19">
        <v>264.39999999999998</v>
      </c>
      <c r="J468" s="19">
        <v>5847.04</v>
      </c>
      <c r="K468" s="19" t="s">
        <v>34</v>
      </c>
      <c r="L468" s="19" t="s">
        <v>49</v>
      </c>
      <c r="M468" s="19">
        <v>245.63</v>
      </c>
      <c r="N468" s="19">
        <v>436.2</v>
      </c>
      <c r="O468" s="19" t="s">
        <v>42</v>
      </c>
      <c r="P468" s="21">
        <v>31.99</v>
      </c>
    </row>
    <row r="469" spans="1:16" x14ac:dyDescent="0.3">
      <c r="A469" s="17" t="s">
        <v>534</v>
      </c>
      <c r="B469" s="18">
        <v>43705</v>
      </c>
      <c r="C469" s="19">
        <v>2019</v>
      </c>
      <c r="D469" s="20" t="s">
        <v>25</v>
      </c>
      <c r="E469" s="19" t="s">
        <v>26</v>
      </c>
      <c r="F469" s="19" t="s">
        <v>33</v>
      </c>
      <c r="G469" s="19" t="s">
        <v>46</v>
      </c>
      <c r="H469" s="19">
        <v>75.52</v>
      </c>
      <c r="I469" s="19">
        <v>262.64</v>
      </c>
      <c r="J469" s="19">
        <v>3477.69</v>
      </c>
      <c r="K469" s="19" t="s">
        <v>28</v>
      </c>
      <c r="L469" s="19" t="s">
        <v>22</v>
      </c>
      <c r="M469" s="19">
        <v>109.49</v>
      </c>
      <c r="N469" s="19">
        <v>640.19000000000005</v>
      </c>
      <c r="O469" s="19" t="s">
        <v>42</v>
      </c>
      <c r="P469" s="21">
        <v>23.16</v>
      </c>
    </row>
    <row r="470" spans="1:16" x14ac:dyDescent="0.3">
      <c r="A470" s="17" t="s">
        <v>535</v>
      </c>
      <c r="B470" s="18">
        <v>44812</v>
      </c>
      <c r="C470" s="19">
        <v>2022</v>
      </c>
      <c r="D470" s="20" t="s">
        <v>17</v>
      </c>
      <c r="E470" s="19" t="s">
        <v>72</v>
      </c>
      <c r="F470" s="19" t="s">
        <v>33</v>
      </c>
      <c r="G470" s="19" t="s">
        <v>64</v>
      </c>
      <c r="H470" s="19">
        <v>17.59</v>
      </c>
      <c r="I470" s="19">
        <v>59.67</v>
      </c>
      <c r="J470" s="19">
        <v>3392.47</v>
      </c>
      <c r="K470" s="19" t="s">
        <v>34</v>
      </c>
      <c r="L470" s="19" t="s">
        <v>29</v>
      </c>
      <c r="M470" s="19">
        <v>169.07</v>
      </c>
      <c r="N470" s="19">
        <v>1148.25</v>
      </c>
      <c r="O470" s="19" t="s">
        <v>61</v>
      </c>
      <c r="P470" s="21">
        <v>23.5</v>
      </c>
    </row>
    <row r="471" spans="1:16" x14ac:dyDescent="0.3">
      <c r="A471" s="17" t="s">
        <v>536</v>
      </c>
      <c r="B471" s="18">
        <v>43541</v>
      </c>
      <c r="C471" s="19">
        <v>2018</v>
      </c>
      <c r="D471" s="20" t="s">
        <v>31</v>
      </c>
      <c r="E471" s="19" t="s">
        <v>82</v>
      </c>
      <c r="F471" s="19" t="s">
        <v>38</v>
      </c>
      <c r="G471" s="19" t="s">
        <v>64</v>
      </c>
      <c r="H471" s="19">
        <v>29.59</v>
      </c>
      <c r="I471" s="19">
        <v>171.14</v>
      </c>
      <c r="J471" s="19">
        <v>5783.85</v>
      </c>
      <c r="K471" s="19" t="s">
        <v>28</v>
      </c>
      <c r="L471" s="19" t="s">
        <v>49</v>
      </c>
      <c r="M471" s="19">
        <v>219.62</v>
      </c>
      <c r="N471" s="19">
        <v>1161.76</v>
      </c>
      <c r="O471" s="19" t="s">
        <v>23</v>
      </c>
      <c r="P471" s="21">
        <v>21.46</v>
      </c>
    </row>
    <row r="472" spans="1:16" x14ac:dyDescent="0.3">
      <c r="A472" s="17" t="s">
        <v>537</v>
      </c>
      <c r="B472" s="18">
        <v>43603</v>
      </c>
      <c r="C472" s="19">
        <v>2019</v>
      </c>
      <c r="D472" s="20" t="s">
        <v>44</v>
      </c>
      <c r="E472" s="19" t="s">
        <v>99</v>
      </c>
      <c r="F472" s="19" t="s">
        <v>19</v>
      </c>
      <c r="G472" s="19" t="s">
        <v>20</v>
      </c>
      <c r="H472" s="19">
        <v>34.159999999999997</v>
      </c>
      <c r="I472" s="19">
        <v>88.9</v>
      </c>
      <c r="J472" s="19">
        <v>2602.5300000000002</v>
      </c>
      <c r="K472" s="19" t="s">
        <v>21</v>
      </c>
      <c r="L472" s="19" t="s">
        <v>41</v>
      </c>
      <c r="M472" s="19">
        <v>113.84</v>
      </c>
      <c r="N472" s="19">
        <v>784.18</v>
      </c>
      <c r="O472" s="19" t="s">
        <v>52</v>
      </c>
      <c r="P472" s="21">
        <v>31.6</v>
      </c>
    </row>
    <row r="473" spans="1:16" x14ac:dyDescent="0.3">
      <c r="A473" s="17" t="s">
        <v>538</v>
      </c>
      <c r="B473" s="18">
        <v>43620</v>
      </c>
      <c r="C473" s="19">
        <v>2019</v>
      </c>
      <c r="D473" s="20" t="s">
        <v>17</v>
      </c>
      <c r="E473" s="19" t="s">
        <v>54</v>
      </c>
      <c r="F473" s="19" t="s">
        <v>33</v>
      </c>
      <c r="G473" s="19" t="s">
        <v>27</v>
      </c>
      <c r="H473" s="19">
        <v>34.4</v>
      </c>
      <c r="I473" s="19">
        <v>176.87</v>
      </c>
      <c r="J473" s="19">
        <v>5141.67</v>
      </c>
      <c r="K473" s="19" t="s">
        <v>40</v>
      </c>
      <c r="L473" s="19" t="s">
        <v>29</v>
      </c>
      <c r="M473" s="19">
        <v>128.32</v>
      </c>
      <c r="N473" s="19">
        <v>210.58</v>
      </c>
      <c r="O473" s="19" t="s">
        <v>23</v>
      </c>
      <c r="P473" s="21">
        <v>32.479999999999997</v>
      </c>
    </row>
    <row r="474" spans="1:16" x14ac:dyDescent="0.3">
      <c r="A474" s="17" t="s">
        <v>539</v>
      </c>
      <c r="B474" s="18">
        <v>40672</v>
      </c>
      <c r="C474" s="19">
        <v>2011</v>
      </c>
      <c r="D474" s="20" t="s">
        <v>25</v>
      </c>
      <c r="E474" s="19" t="s">
        <v>69</v>
      </c>
      <c r="F474" s="19" t="s">
        <v>19</v>
      </c>
      <c r="G474" s="19" t="s">
        <v>46</v>
      </c>
      <c r="H474" s="19">
        <v>35.799999999999997</v>
      </c>
      <c r="I474" s="19">
        <v>191.58</v>
      </c>
      <c r="J474" s="19">
        <v>5351.5</v>
      </c>
      <c r="K474" s="19" t="s">
        <v>34</v>
      </c>
      <c r="L474" s="19" t="s">
        <v>41</v>
      </c>
      <c r="M474" s="19">
        <v>98.27</v>
      </c>
      <c r="N474" s="19">
        <v>223.7</v>
      </c>
      <c r="O474" s="19" t="s">
        <v>23</v>
      </c>
      <c r="P474" s="21">
        <v>20.85</v>
      </c>
    </row>
    <row r="475" spans="1:16" x14ac:dyDescent="0.3">
      <c r="A475" s="17" t="s">
        <v>540</v>
      </c>
      <c r="B475" s="18">
        <v>40645</v>
      </c>
      <c r="C475" s="19">
        <v>2011</v>
      </c>
      <c r="D475" s="20" t="s">
        <v>59</v>
      </c>
      <c r="E475" s="19" t="s">
        <v>93</v>
      </c>
      <c r="F475" s="19" t="s">
        <v>19</v>
      </c>
      <c r="G475" s="19" t="s">
        <v>64</v>
      </c>
      <c r="H475" s="19">
        <v>9.5500000000000007</v>
      </c>
      <c r="I475" s="19">
        <v>44.2</v>
      </c>
      <c r="J475" s="19">
        <v>4628.1099999999997</v>
      </c>
      <c r="K475" s="19" t="s">
        <v>28</v>
      </c>
      <c r="L475" s="19" t="s">
        <v>22</v>
      </c>
      <c r="M475" s="19">
        <v>214.1</v>
      </c>
      <c r="N475" s="19">
        <v>1099.9000000000001</v>
      </c>
      <c r="O475" s="19" t="s">
        <v>61</v>
      </c>
      <c r="P475" s="21">
        <v>32.049999999999997</v>
      </c>
    </row>
    <row r="476" spans="1:16" x14ac:dyDescent="0.3">
      <c r="A476" s="17" t="s">
        <v>541</v>
      </c>
      <c r="B476" s="18">
        <v>42026</v>
      </c>
      <c r="C476" s="19">
        <v>2014</v>
      </c>
      <c r="D476" s="20" t="s">
        <v>17</v>
      </c>
      <c r="E476" s="19" t="s">
        <v>18</v>
      </c>
      <c r="F476" s="19" t="s">
        <v>38</v>
      </c>
      <c r="G476" s="19" t="s">
        <v>46</v>
      </c>
      <c r="H476" s="19">
        <v>66.39</v>
      </c>
      <c r="I476" s="19">
        <v>96.55</v>
      </c>
      <c r="J476" s="19">
        <v>1454.29</v>
      </c>
      <c r="K476" s="19" t="s">
        <v>28</v>
      </c>
      <c r="L476" s="19" t="s">
        <v>49</v>
      </c>
      <c r="M476" s="19">
        <v>280.67</v>
      </c>
      <c r="N476" s="19">
        <v>476.38</v>
      </c>
      <c r="O476" s="19" t="s">
        <v>52</v>
      </c>
      <c r="P476" s="21">
        <v>30.38</v>
      </c>
    </row>
    <row r="477" spans="1:16" x14ac:dyDescent="0.3">
      <c r="A477" s="17" t="s">
        <v>542</v>
      </c>
      <c r="B477" s="18">
        <v>41842</v>
      </c>
      <c r="C477" s="19">
        <v>2014</v>
      </c>
      <c r="D477" s="20" t="s">
        <v>103</v>
      </c>
      <c r="E477" s="19" t="s">
        <v>104</v>
      </c>
      <c r="F477" s="19" t="s">
        <v>33</v>
      </c>
      <c r="G477" s="19" t="s">
        <v>46</v>
      </c>
      <c r="H477" s="19">
        <v>39.47</v>
      </c>
      <c r="I477" s="19">
        <v>275.33</v>
      </c>
      <c r="J477" s="19">
        <v>6975.75</v>
      </c>
      <c r="K477" s="19" t="s">
        <v>34</v>
      </c>
      <c r="L477" s="19" t="s">
        <v>47</v>
      </c>
      <c r="M477" s="19">
        <v>288.89999999999998</v>
      </c>
      <c r="N477" s="19">
        <v>464.66</v>
      </c>
      <c r="O477" s="19" t="s">
        <v>52</v>
      </c>
      <c r="P477" s="21">
        <v>21.04</v>
      </c>
    </row>
    <row r="478" spans="1:16" x14ac:dyDescent="0.3">
      <c r="A478" s="17" t="s">
        <v>543</v>
      </c>
      <c r="B478" s="18">
        <v>44162</v>
      </c>
      <c r="C478" s="19">
        <v>2020</v>
      </c>
      <c r="D478" s="20" t="s">
        <v>36</v>
      </c>
      <c r="E478" s="19" t="s">
        <v>37</v>
      </c>
      <c r="F478" s="19" t="s">
        <v>38</v>
      </c>
      <c r="G478" s="19" t="s">
        <v>64</v>
      </c>
      <c r="H478" s="19">
        <v>15.24</v>
      </c>
      <c r="I478" s="19">
        <v>85.53</v>
      </c>
      <c r="J478" s="19">
        <v>5612.24</v>
      </c>
      <c r="K478" s="19" t="s">
        <v>40</v>
      </c>
      <c r="L478" s="19" t="s">
        <v>22</v>
      </c>
      <c r="M478" s="19">
        <v>203.49</v>
      </c>
      <c r="N478" s="19">
        <v>306.25</v>
      </c>
      <c r="O478" s="19" t="s">
        <v>52</v>
      </c>
      <c r="P478" s="21">
        <v>30.73</v>
      </c>
    </row>
    <row r="479" spans="1:16" x14ac:dyDescent="0.3">
      <c r="A479" s="17" t="s">
        <v>544</v>
      </c>
      <c r="B479" s="18">
        <v>43573</v>
      </c>
      <c r="C479" s="19">
        <v>2019</v>
      </c>
      <c r="D479" s="20" t="s">
        <v>25</v>
      </c>
      <c r="E479" s="19" t="s">
        <v>26</v>
      </c>
      <c r="F479" s="19" t="s">
        <v>19</v>
      </c>
      <c r="G479" s="19" t="s">
        <v>20</v>
      </c>
      <c r="H479" s="19">
        <v>77.95</v>
      </c>
      <c r="I479" s="19">
        <v>86.73</v>
      </c>
      <c r="J479" s="19">
        <v>1112.5899999999999</v>
      </c>
      <c r="K479" s="19" t="s">
        <v>28</v>
      </c>
      <c r="L479" s="19" t="s">
        <v>41</v>
      </c>
      <c r="M479" s="19">
        <v>87.21</v>
      </c>
      <c r="N479" s="19">
        <v>840.34</v>
      </c>
      <c r="O479" s="19" t="s">
        <v>23</v>
      </c>
      <c r="P479" s="21">
        <v>29.97</v>
      </c>
    </row>
    <row r="480" spans="1:16" x14ac:dyDescent="0.3">
      <c r="A480" s="17" t="s">
        <v>545</v>
      </c>
      <c r="B480" s="18">
        <v>42461</v>
      </c>
      <c r="C480" s="19">
        <v>2016</v>
      </c>
      <c r="D480" s="20" t="s">
        <v>17</v>
      </c>
      <c r="E480" s="19" t="s">
        <v>72</v>
      </c>
      <c r="F480" s="19" t="s">
        <v>19</v>
      </c>
      <c r="G480" s="19" t="s">
        <v>64</v>
      </c>
      <c r="H480" s="19">
        <v>52.02</v>
      </c>
      <c r="I480" s="19">
        <v>345.39</v>
      </c>
      <c r="J480" s="19">
        <v>6639.47</v>
      </c>
      <c r="K480" s="19" t="s">
        <v>28</v>
      </c>
      <c r="L480" s="19" t="s">
        <v>29</v>
      </c>
      <c r="M480" s="19">
        <v>169.53</v>
      </c>
      <c r="N480" s="19">
        <v>603.91</v>
      </c>
      <c r="O480" s="19" t="s">
        <v>23</v>
      </c>
      <c r="P480" s="21">
        <v>28.1</v>
      </c>
    </row>
    <row r="481" spans="1:17" x14ac:dyDescent="0.3">
      <c r="A481" s="17" t="s">
        <v>546</v>
      </c>
      <c r="B481" s="18">
        <v>40688</v>
      </c>
      <c r="C481" s="19">
        <v>2011</v>
      </c>
      <c r="D481" s="20" t="s">
        <v>17</v>
      </c>
      <c r="E481" s="19" t="s">
        <v>72</v>
      </c>
      <c r="F481" s="19" t="s">
        <v>19</v>
      </c>
      <c r="G481" s="19" t="s">
        <v>27</v>
      </c>
      <c r="H481" s="19">
        <v>93.57</v>
      </c>
      <c r="I481" s="19">
        <v>295.07</v>
      </c>
      <c r="J481" s="19">
        <v>3153.51</v>
      </c>
      <c r="K481" s="19" t="s">
        <v>34</v>
      </c>
      <c r="L481" s="19" t="s">
        <v>49</v>
      </c>
      <c r="M481" s="19">
        <v>150.15</v>
      </c>
      <c r="N481" s="19">
        <v>832.27</v>
      </c>
      <c r="O481" s="19" t="s">
        <v>23</v>
      </c>
      <c r="P481" s="21">
        <v>25.48</v>
      </c>
    </row>
    <row r="482" spans="1:17" x14ac:dyDescent="0.3">
      <c r="A482" s="17" t="s">
        <v>547</v>
      </c>
      <c r="B482" s="18">
        <v>44957</v>
      </c>
      <c r="C482" s="19">
        <v>2022</v>
      </c>
      <c r="D482" s="20" t="s">
        <v>25</v>
      </c>
      <c r="E482" s="19" t="s">
        <v>87</v>
      </c>
      <c r="F482" s="19" t="s">
        <v>38</v>
      </c>
      <c r="G482" s="19" t="s">
        <v>39</v>
      </c>
      <c r="H482" s="19">
        <v>21.11</v>
      </c>
      <c r="I482" s="19">
        <v>91.34</v>
      </c>
      <c r="J482" s="19">
        <v>4326.8500000000004</v>
      </c>
      <c r="K482" s="19" t="s">
        <v>28</v>
      </c>
      <c r="L482" s="19" t="s">
        <v>29</v>
      </c>
      <c r="M482" s="19">
        <v>215.18</v>
      </c>
      <c r="N482" s="19">
        <v>498.87</v>
      </c>
      <c r="O482" s="19" t="s">
        <v>52</v>
      </c>
      <c r="P482" s="21">
        <v>33.450000000000003</v>
      </c>
    </row>
    <row r="483" spans="1:17" x14ac:dyDescent="0.3">
      <c r="A483" s="17" t="s">
        <v>548</v>
      </c>
      <c r="B483" s="18">
        <v>42857</v>
      </c>
      <c r="C483" s="19">
        <v>2017</v>
      </c>
      <c r="D483" s="20" t="s">
        <v>25</v>
      </c>
      <c r="E483" s="19" t="s">
        <v>69</v>
      </c>
      <c r="F483" s="19" t="s">
        <v>19</v>
      </c>
      <c r="G483" s="19" t="s">
        <v>56</v>
      </c>
      <c r="H483" s="19">
        <v>14.85</v>
      </c>
      <c r="I483" s="19">
        <v>32.049999999999997</v>
      </c>
      <c r="J483" s="19">
        <v>2158.56</v>
      </c>
      <c r="K483" s="19" t="s">
        <v>40</v>
      </c>
      <c r="L483" s="19" t="s">
        <v>47</v>
      </c>
      <c r="M483" s="19">
        <v>172.31</v>
      </c>
      <c r="N483" s="19">
        <v>262.99</v>
      </c>
      <c r="O483" s="19" t="s">
        <v>61</v>
      </c>
      <c r="P483" s="21">
        <v>29.65</v>
      </c>
    </row>
    <row r="484" spans="1:17" x14ac:dyDescent="0.3">
      <c r="A484" s="17" t="s">
        <v>549</v>
      </c>
      <c r="B484" s="18">
        <v>40467</v>
      </c>
      <c r="C484" s="19">
        <v>2010</v>
      </c>
      <c r="D484" s="20" t="s">
        <v>44</v>
      </c>
      <c r="E484" s="19" t="s">
        <v>99</v>
      </c>
      <c r="F484" s="19" t="s">
        <v>33</v>
      </c>
      <c r="G484" s="19" t="s">
        <v>20</v>
      </c>
      <c r="H484" s="19">
        <v>6.55</v>
      </c>
      <c r="I484" s="19">
        <v>37.51</v>
      </c>
      <c r="J484" s="19">
        <v>5726.67</v>
      </c>
      <c r="K484" s="19" t="s">
        <v>21</v>
      </c>
      <c r="L484" s="19" t="s">
        <v>41</v>
      </c>
      <c r="M484" s="19">
        <v>151.38</v>
      </c>
      <c r="N484" s="19">
        <v>411.68</v>
      </c>
      <c r="O484" s="19" t="s">
        <v>61</v>
      </c>
      <c r="P484" s="21">
        <v>26.88</v>
      </c>
    </row>
    <row r="485" spans="1:17" x14ac:dyDescent="0.3">
      <c r="A485" s="17" t="s">
        <v>550</v>
      </c>
      <c r="B485" s="18">
        <v>41459</v>
      </c>
      <c r="C485" s="19">
        <v>2013</v>
      </c>
      <c r="D485" s="20" t="s">
        <v>17</v>
      </c>
      <c r="E485" s="19" t="s">
        <v>54</v>
      </c>
      <c r="F485" s="19" t="s">
        <v>33</v>
      </c>
      <c r="G485" s="19" t="s">
        <v>64</v>
      </c>
      <c r="H485" s="19">
        <v>73.81</v>
      </c>
      <c r="I485" s="19">
        <v>290.32</v>
      </c>
      <c r="J485" s="19">
        <v>3933.37</v>
      </c>
      <c r="K485" s="19" t="s">
        <v>21</v>
      </c>
      <c r="L485" s="19" t="s">
        <v>22</v>
      </c>
      <c r="M485" s="19">
        <v>167.8</v>
      </c>
      <c r="N485" s="19">
        <v>1118.02</v>
      </c>
      <c r="O485" s="19" t="s">
        <v>23</v>
      </c>
      <c r="P485" s="21">
        <v>23.64</v>
      </c>
    </row>
    <row r="486" spans="1:17" x14ac:dyDescent="0.3">
      <c r="A486" s="17" t="s">
        <v>551</v>
      </c>
      <c r="B486" s="18">
        <v>40539</v>
      </c>
      <c r="C486" s="19">
        <v>2010</v>
      </c>
      <c r="D486" s="20" t="s">
        <v>103</v>
      </c>
      <c r="E486" s="19" t="s">
        <v>228</v>
      </c>
      <c r="F486" s="19" t="s">
        <v>38</v>
      </c>
      <c r="G486" s="19" t="s">
        <v>64</v>
      </c>
      <c r="H486" s="19">
        <v>46.16</v>
      </c>
      <c r="I486" s="19">
        <v>93.43</v>
      </c>
      <c r="J486" s="19">
        <v>2024.14</v>
      </c>
      <c r="K486" s="19" t="s">
        <v>21</v>
      </c>
      <c r="L486" s="19" t="s">
        <v>22</v>
      </c>
      <c r="M486" s="19">
        <v>254.45</v>
      </c>
      <c r="N486" s="19">
        <v>306.33</v>
      </c>
      <c r="O486" s="19" t="s">
        <v>52</v>
      </c>
      <c r="P486" s="21">
        <v>28.92</v>
      </c>
    </row>
    <row r="487" spans="1:17" x14ac:dyDescent="0.3">
      <c r="A487" s="17" t="s">
        <v>552</v>
      </c>
      <c r="B487" s="18">
        <v>42719</v>
      </c>
      <c r="C487" s="19">
        <v>2016</v>
      </c>
      <c r="D487" s="20" t="s">
        <v>44</v>
      </c>
      <c r="E487" s="19" t="s">
        <v>45</v>
      </c>
      <c r="F487" s="19" t="s">
        <v>38</v>
      </c>
      <c r="G487" s="19" t="s">
        <v>39</v>
      </c>
      <c r="H487" s="19">
        <v>68.16</v>
      </c>
      <c r="I487" s="19">
        <v>200.76</v>
      </c>
      <c r="J487" s="19">
        <v>2945.41</v>
      </c>
      <c r="K487" s="19" t="s">
        <v>40</v>
      </c>
      <c r="L487" s="19" t="s">
        <v>49</v>
      </c>
      <c r="M487" s="19">
        <v>130.4</v>
      </c>
      <c r="N487" s="19">
        <v>1164.69</v>
      </c>
      <c r="O487" s="19" t="s">
        <v>42</v>
      </c>
      <c r="P487" s="21">
        <v>31.46</v>
      </c>
      <c r="Q487" t="s">
        <v>568</v>
      </c>
    </row>
    <row r="488" spans="1:17" x14ac:dyDescent="0.3">
      <c r="A488" s="17" t="s">
        <v>553</v>
      </c>
      <c r="B488" s="18">
        <v>41887</v>
      </c>
      <c r="C488" s="19">
        <v>2014</v>
      </c>
      <c r="D488" s="20" t="s">
        <v>25</v>
      </c>
      <c r="E488" s="19" t="s">
        <v>26</v>
      </c>
      <c r="F488" s="19" t="s">
        <v>33</v>
      </c>
      <c r="G488" s="19" t="s">
        <v>46</v>
      </c>
      <c r="H488" s="19">
        <v>17.64</v>
      </c>
      <c r="I488" s="19">
        <v>56.79</v>
      </c>
      <c r="J488" s="19">
        <v>3219.56</v>
      </c>
      <c r="K488" s="19" t="s">
        <v>40</v>
      </c>
      <c r="L488" s="19" t="s">
        <v>41</v>
      </c>
      <c r="M488" s="19">
        <v>159.66999999999999</v>
      </c>
      <c r="N488" s="19">
        <v>1125.68</v>
      </c>
      <c r="O488" s="19" t="s">
        <v>23</v>
      </c>
      <c r="P488" s="21">
        <v>22</v>
      </c>
    </row>
    <row r="489" spans="1:17" x14ac:dyDescent="0.3">
      <c r="A489" s="17" t="s">
        <v>554</v>
      </c>
      <c r="B489" s="18">
        <v>40747</v>
      </c>
      <c r="C489" s="19">
        <v>2011</v>
      </c>
      <c r="D489" s="20" t="s">
        <v>25</v>
      </c>
      <c r="E489" s="19" t="s">
        <v>87</v>
      </c>
      <c r="F489" s="19" t="s">
        <v>33</v>
      </c>
      <c r="G489" s="19" t="s">
        <v>64</v>
      </c>
      <c r="H489" s="19">
        <v>18.760000000000002</v>
      </c>
      <c r="I489" s="19">
        <v>28.79</v>
      </c>
      <c r="J489" s="19">
        <v>1534.85</v>
      </c>
      <c r="K489" s="19" t="s">
        <v>34</v>
      </c>
      <c r="L489" s="19" t="s">
        <v>41</v>
      </c>
      <c r="M489" s="19">
        <v>154.06</v>
      </c>
      <c r="N489" s="19">
        <v>1007.41</v>
      </c>
      <c r="O489" s="19" t="s">
        <v>52</v>
      </c>
      <c r="P489" s="21">
        <v>30.39</v>
      </c>
    </row>
    <row r="490" spans="1:17" x14ac:dyDescent="0.3">
      <c r="A490" s="17" t="s">
        <v>555</v>
      </c>
      <c r="B490" s="18">
        <v>43482</v>
      </c>
      <c r="C490" s="19">
        <v>2018</v>
      </c>
      <c r="D490" s="20" t="s">
        <v>17</v>
      </c>
      <c r="E490" s="19" t="s">
        <v>72</v>
      </c>
      <c r="F490" s="19" t="s">
        <v>38</v>
      </c>
      <c r="G490" s="19" t="s">
        <v>46</v>
      </c>
      <c r="H490" s="19">
        <v>24.69</v>
      </c>
      <c r="I490" s="19">
        <v>50.55</v>
      </c>
      <c r="J490" s="19">
        <v>2047.29</v>
      </c>
      <c r="K490" s="19" t="s">
        <v>21</v>
      </c>
      <c r="L490" s="19" t="s">
        <v>49</v>
      </c>
      <c r="M490" s="19">
        <v>199.07</v>
      </c>
      <c r="N490" s="19">
        <v>917.2</v>
      </c>
      <c r="O490" s="19" t="s">
        <v>61</v>
      </c>
      <c r="P490" s="21">
        <v>34.25</v>
      </c>
    </row>
    <row r="491" spans="1:17" x14ac:dyDescent="0.3">
      <c r="A491" s="17" t="s">
        <v>556</v>
      </c>
      <c r="B491" s="18">
        <v>43370</v>
      </c>
      <c r="C491" s="19">
        <v>2018</v>
      </c>
      <c r="D491" s="20" t="s">
        <v>36</v>
      </c>
      <c r="E491" s="19" t="s">
        <v>37</v>
      </c>
      <c r="F491" s="19" t="s">
        <v>33</v>
      </c>
      <c r="G491" s="19" t="s">
        <v>56</v>
      </c>
      <c r="H491" s="19">
        <v>12.63</v>
      </c>
      <c r="I491" s="19">
        <v>52.81</v>
      </c>
      <c r="J491" s="19">
        <v>4181.1899999999996</v>
      </c>
      <c r="K491" s="19" t="s">
        <v>21</v>
      </c>
      <c r="L491" s="19" t="s">
        <v>41</v>
      </c>
      <c r="M491" s="19">
        <v>204.73</v>
      </c>
      <c r="N491" s="19">
        <v>1062.73</v>
      </c>
      <c r="O491" s="19" t="s">
        <v>61</v>
      </c>
      <c r="P491" s="21">
        <v>27.61</v>
      </c>
    </row>
    <row r="492" spans="1:17" x14ac:dyDescent="0.3">
      <c r="A492" s="17" t="s">
        <v>557</v>
      </c>
      <c r="B492" s="18">
        <v>41519</v>
      </c>
      <c r="C492" s="19">
        <v>2013</v>
      </c>
      <c r="D492" s="20" t="s">
        <v>31</v>
      </c>
      <c r="E492" s="19" t="s">
        <v>82</v>
      </c>
      <c r="F492" s="19" t="s">
        <v>33</v>
      </c>
      <c r="G492" s="19" t="s">
        <v>56</v>
      </c>
      <c r="H492" s="19">
        <v>68.84</v>
      </c>
      <c r="I492" s="19">
        <v>468.9</v>
      </c>
      <c r="J492" s="19">
        <v>6811.44</v>
      </c>
      <c r="K492" s="19" t="s">
        <v>28</v>
      </c>
      <c r="L492" s="19" t="s">
        <v>49</v>
      </c>
      <c r="M492" s="19">
        <v>174.38</v>
      </c>
      <c r="N492" s="19">
        <v>359.76</v>
      </c>
      <c r="O492" s="19" t="s">
        <v>23</v>
      </c>
      <c r="P492" s="21">
        <v>20.81</v>
      </c>
    </row>
    <row r="493" spans="1:17" x14ac:dyDescent="0.3">
      <c r="A493" s="17" t="s">
        <v>558</v>
      </c>
      <c r="B493" s="18">
        <v>41951</v>
      </c>
      <c r="C493" s="19">
        <v>2014</v>
      </c>
      <c r="D493" s="20" t="s">
        <v>103</v>
      </c>
      <c r="E493" s="19" t="s">
        <v>107</v>
      </c>
      <c r="F493" s="19" t="s">
        <v>38</v>
      </c>
      <c r="G493" s="19" t="s">
        <v>27</v>
      </c>
      <c r="H493" s="19">
        <v>80.709999999999994</v>
      </c>
      <c r="I493" s="19">
        <v>447.98</v>
      </c>
      <c r="J493" s="19">
        <v>5550.45</v>
      </c>
      <c r="K493" s="19" t="s">
        <v>21</v>
      </c>
      <c r="L493" s="19" t="s">
        <v>29</v>
      </c>
      <c r="M493" s="19">
        <v>76.11</v>
      </c>
      <c r="N493" s="19">
        <v>252.46</v>
      </c>
      <c r="O493" s="19" t="s">
        <v>61</v>
      </c>
      <c r="P493" s="21">
        <v>22.64</v>
      </c>
    </row>
    <row r="494" spans="1:17" x14ac:dyDescent="0.3">
      <c r="A494" s="17" t="s">
        <v>559</v>
      </c>
      <c r="B494" s="18">
        <v>40723</v>
      </c>
      <c r="C494" s="19">
        <v>2011</v>
      </c>
      <c r="D494" s="20" t="s">
        <v>59</v>
      </c>
      <c r="E494" s="19" t="s">
        <v>60</v>
      </c>
      <c r="F494" s="19" t="s">
        <v>33</v>
      </c>
      <c r="G494" s="19" t="s">
        <v>39</v>
      </c>
      <c r="H494" s="19">
        <v>45.04</v>
      </c>
      <c r="I494" s="19">
        <v>201.71</v>
      </c>
      <c r="J494" s="19">
        <v>4478.57</v>
      </c>
      <c r="K494" s="19" t="s">
        <v>28</v>
      </c>
      <c r="L494" s="19" t="s">
        <v>49</v>
      </c>
      <c r="M494" s="19">
        <v>99.69</v>
      </c>
      <c r="N494" s="19">
        <v>876.85</v>
      </c>
      <c r="O494" s="19" t="s">
        <v>70</v>
      </c>
      <c r="P494" s="21">
        <v>23.45</v>
      </c>
    </row>
    <row r="495" spans="1:17" x14ac:dyDescent="0.3">
      <c r="A495" s="17" t="s">
        <v>560</v>
      </c>
      <c r="B495" s="18">
        <v>41374</v>
      </c>
      <c r="C495" s="19">
        <v>2013</v>
      </c>
      <c r="D495" s="20" t="s">
        <v>103</v>
      </c>
      <c r="E495" s="19" t="s">
        <v>104</v>
      </c>
      <c r="F495" s="19" t="s">
        <v>19</v>
      </c>
      <c r="G495" s="19" t="s">
        <v>46</v>
      </c>
      <c r="H495" s="19">
        <v>87.12</v>
      </c>
      <c r="I495" s="19">
        <v>283.42</v>
      </c>
      <c r="J495" s="19">
        <v>3253.19</v>
      </c>
      <c r="K495" s="19" t="s">
        <v>40</v>
      </c>
      <c r="L495" s="19" t="s">
        <v>41</v>
      </c>
      <c r="M495" s="19">
        <v>68.38</v>
      </c>
      <c r="N495" s="19">
        <v>785.09</v>
      </c>
      <c r="O495" s="19" t="s">
        <v>23</v>
      </c>
      <c r="P495" s="21">
        <v>33.36</v>
      </c>
    </row>
    <row r="496" spans="1:17" x14ac:dyDescent="0.3">
      <c r="A496" s="17" t="s">
        <v>561</v>
      </c>
      <c r="B496" s="18">
        <v>41359</v>
      </c>
      <c r="C496" s="19">
        <v>2012</v>
      </c>
      <c r="D496" s="20" t="s">
        <v>59</v>
      </c>
      <c r="E496" s="19" t="s">
        <v>63</v>
      </c>
      <c r="F496" s="19" t="s">
        <v>38</v>
      </c>
      <c r="G496" s="19" t="s">
        <v>20</v>
      </c>
      <c r="H496" s="19">
        <v>14.5</v>
      </c>
      <c r="I496" s="19">
        <v>77.12</v>
      </c>
      <c r="J496" s="19">
        <v>5318.93</v>
      </c>
      <c r="K496" s="19" t="s">
        <v>34</v>
      </c>
      <c r="L496" s="19" t="s">
        <v>22</v>
      </c>
      <c r="M496" s="19">
        <v>293.89</v>
      </c>
      <c r="N496" s="19">
        <v>402.21</v>
      </c>
      <c r="O496" s="19" t="s">
        <v>42</v>
      </c>
      <c r="P496" s="21">
        <v>20.48</v>
      </c>
    </row>
    <row r="497" spans="1:16" x14ac:dyDescent="0.3">
      <c r="A497" s="17" t="s">
        <v>562</v>
      </c>
      <c r="B497" s="18">
        <v>40995</v>
      </c>
      <c r="C497" s="19">
        <v>2011</v>
      </c>
      <c r="D497" s="20" t="s">
        <v>31</v>
      </c>
      <c r="E497" s="19" t="s">
        <v>82</v>
      </c>
      <c r="F497" s="19" t="s">
        <v>38</v>
      </c>
      <c r="G497" s="19" t="s">
        <v>46</v>
      </c>
      <c r="H497" s="19">
        <v>42.4</v>
      </c>
      <c r="I497" s="19">
        <v>235.83</v>
      </c>
      <c r="J497" s="19">
        <v>5562.04</v>
      </c>
      <c r="K497" s="19" t="s">
        <v>40</v>
      </c>
      <c r="L497" s="19" t="s">
        <v>47</v>
      </c>
      <c r="M497" s="19">
        <v>271.60000000000002</v>
      </c>
      <c r="N497" s="19">
        <v>803.64</v>
      </c>
      <c r="O497" s="19" t="s">
        <v>61</v>
      </c>
      <c r="P497" s="21">
        <v>33.58</v>
      </c>
    </row>
    <row r="498" spans="1:16" x14ac:dyDescent="0.3">
      <c r="A498" s="17" t="s">
        <v>563</v>
      </c>
      <c r="B498" s="18">
        <v>40911</v>
      </c>
      <c r="C498" s="19">
        <v>2011</v>
      </c>
      <c r="D498" s="20" t="s">
        <v>44</v>
      </c>
      <c r="E498" s="19" t="s">
        <v>45</v>
      </c>
      <c r="F498" s="19" t="s">
        <v>38</v>
      </c>
      <c r="G498" s="19" t="s">
        <v>27</v>
      </c>
      <c r="H498" s="19">
        <v>49.43</v>
      </c>
      <c r="I498" s="19">
        <v>344.72</v>
      </c>
      <c r="J498" s="19">
        <v>6973.99</v>
      </c>
      <c r="K498" s="19" t="s">
        <v>28</v>
      </c>
      <c r="L498" s="19" t="s">
        <v>41</v>
      </c>
      <c r="M498" s="19">
        <v>259.25</v>
      </c>
      <c r="N498" s="19">
        <v>479.17</v>
      </c>
      <c r="O498" s="19" t="s">
        <v>52</v>
      </c>
      <c r="P498" s="21">
        <v>31.04</v>
      </c>
    </row>
    <row r="499" spans="1:16" x14ac:dyDescent="0.3">
      <c r="A499" s="17" t="s">
        <v>564</v>
      </c>
      <c r="B499" s="18">
        <v>43746</v>
      </c>
      <c r="C499" s="19">
        <v>2019</v>
      </c>
      <c r="D499" s="20" t="s">
        <v>31</v>
      </c>
      <c r="E499" s="19" t="s">
        <v>32</v>
      </c>
      <c r="F499" s="19" t="s">
        <v>33</v>
      </c>
      <c r="G499" s="19" t="s">
        <v>27</v>
      </c>
      <c r="H499" s="19">
        <v>94.68</v>
      </c>
      <c r="I499" s="19">
        <v>613.77</v>
      </c>
      <c r="J499" s="19">
        <v>6482.53</v>
      </c>
      <c r="K499" s="19" t="s">
        <v>21</v>
      </c>
      <c r="L499" s="19" t="s">
        <v>22</v>
      </c>
      <c r="M499" s="19">
        <v>154.44</v>
      </c>
      <c r="N499" s="19">
        <v>244.22</v>
      </c>
      <c r="O499" s="19" t="s">
        <v>52</v>
      </c>
      <c r="P499" s="21">
        <v>31</v>
      </c>
    </row>
    <row r="500" spans="1:16" x14ac:dyDescent="0.3">
      <c r="A500" s="17" t="s">
        <v>565</v>
      </c>
      <c r="B500" s="18">
        <v>42708</v>
      </c>
      <c r="C500" s="19">
        <v>2016</v>
      </c>
      <c r="D500" s="20" t="s">
        <v>36</v>
      </c>
      <c r="E500" s="19" t="s">
        <v>77</v>
      </c>
      <c r="F500" s="19" t="s">
        <v>38</v>
      </c>
      <c r="G500" s="19" t="s">
        <v>39</v>
      </c>
      <c r="H500" s="19">
        <v>82.31</v>
      </c>
      <c r="I500" s="19">
        <v>305.75</v>
      </c>
      <c r="J500" s="19">
        <v>3714.65</v>
      </c>
      <c r="K500" s="19" t="s">
        <v>40</v>
      </c>
      <c r="L500" s="19" t="s">
        <v>49</v>
      </c>
      <c r="M500" s="19">
        <v>70.77</v>
      </c>
      <c r="N500" s="19">
        <v>953.08</v>
      </c>
      <c r="O500" s="19" t="s">
        <v>52</v>
      </c>
      <c r="P500" s="21">
        <v>34.25</v>
      </c>
    </row>
    <row r="501" spans="1:16" x14ac:dyDescent="0.3">
      <c r="A501" s="22" t="s">
        <v>566</v>
      </c>
      <c r="B501" s="23">
        <v>44101</v>
      </c>
      <c r="C501" s="24">
        <v>2020</v>
      </c>
      <c r="D501" s="25" t="s">
        <v>31</v>
      </c>
      <c r="E501" s="24" t="s">
        <v>82</v>
      </c>
      <c r="F501" s="24" t="s">
        <v>33</v>
      </c>
      <c r="G501" s="24" t="s">
        <v>567</v>
      </c>
      <c r="H501" s="24">
        <v>48.5</v>
      </c>
      <c r="I501" s="24">
        <v>137.21</v>
      </c>
      <c r="J501" s="24">
        <v>2829.02</v>
      </c>
      <c r="K501" s="24" t="s">
        <v>28</v>
      </c>
      <c r="L501" s="24" t="s">
        <v>41</v>
      </c>
      <c r="M501" s="24">
        <v>264.48</v>
      </c>
      <c r="N501" s="24">
        <v>947.29</v>
      </c>
      <c r="O501" s="24" t="s">
        <v>23</v>
      </c>
      <c r="P501" s="26">
        <v>34.65</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7361CF-BEC8-4982-AA1B-55ADB0D873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Pivottable_1</vt:lpstr>
      <vt:lpstr>Dashboard</vt:lpstr>
      <vt:lpstr>Agricultural_crop_yield cleaned</vt:lpstr>
      <vt:lpstr>Agricultural_Crop_Yield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Kothapelli</dc:creator>
  <cp:lastModifiedBy>Ganesh Kothapelli</cp:lastModifiedBy>
  <dcterms:created xsi:type="dcterms:W3CDTF">2026-09-05T04:14:22Z</dcterms:created>
  <dcterms:modified xsi:type="dcterms:W3CDTF">2026-09-05T11:19:25Z</dcterms:modified>
</cp:coreProperties>
</file>